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32d066fad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064d9f147cf0449d"/>
    <x:sheet xmlns:r="http://schemas.openxmlformats.org/officeDocument/2006/relationships" name="Listas" sheetId="2" r:id="Rf25bc98fe6e8445b"/>
    <x:sheet xmlns:r="http://schemas.openxmlformats.org/officeDocument/2006/relationships" name="Instrucciones" sheetId="3" r:id="R12ed770b805846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yyyy-mm-dd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0313C"/>
      <x:name val="Carlito"/>
    </x:font>
    <x:font>
      <x:b/>
      <x:sz val="11"/>
      <x:color rgb="FF173F5F"/>
      <x:name val="Carlito"/>
    </x:font>
    <x:font>
      <x:b/>
      <x:sz val="11"/>
      <x:color rgb="FF138A9E"/>
      <x:name val="Carlito"/>
    </x:font>
    <x:font>
      <x:b/>
      <x:sz val="11"/>
      <x:color rgb="FFFFFFFF"/>
      <x:name val="Carlito"/>
    </x:font>
    <x:font>
      <x:sz val="10"/>
      <x:color rgb="FF20313C"/>
      <x:name val="Carlito"/>
    </x:font>
    <x:font>
      <x:sz val="11"/>
      <x:color rgb="FF20313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E9F4F7"/>
      </x:patternFill>
    </x:fill>
    <x:fill>
      <x:patternFill patternType="solid">
        <x:fgColor rgb="FFF3F6F8"/>
      </x:patternFill>
    </x:fill>
    <x:fill>
      <x:patternFill patternType="solid">
        <x:fgColor rgb="FFFFFFFF"/>
      </x:patternFill>
    </x:fill>
    <x:fill>
      <x:patternFill patternType="solid">
        <x:fgColor rgb="FFF4FAFC"/>
      </x:patternFill>
    </x:fill>
    <x:fill>
      <x:patternFill patternType="solid">
        <x:fgColor rgb="FF138A9E"/>
      </x:patternFill>
    </x:fill>
  </x:fills>
  <x:borders count="11">
    <x:border/>
    <x:border>
      <x:left style="thin">
        <x:color rgb="FFCCD8DF"/>
      </x:left>
      <x:right style="thin">
        <x:color rgb="FFCCD8DF"/>
      </x:right>
      <x:top style="thin">
        <x:color rgb="FFCCD8DF"/>
      </x:top>
      <x:bottom style="thin">
        <x:color rgb="FFCCD8DF"/>
      </x:bottom>
    </x:border>
    <x:border>
      <x:right style="thin">
        <x:color rgb="FF6E8798"/>
      </x:right>
    </x:border>
    <x:border>
      <x:left style="thin">
        <x:color rgb="FF6E8798"/>
      </x:left>
      <x:right style="thin">
        <x:color rgb="FF6E8798"/>
      </x:right>
    </x:border>
    <x:border>
      <x:left style="thin">
        <x:color rgb="FF6E8798"/>
      </x:left>
    </x:border>
    <x:border>
      <x:bottom style="thin">
        <x:color rgb="FFE1E8EC"/>
      </x:bottom>
    </x:border>
    <x:border>
      <x:top style="thin">
        <x:color rgb="FFE1E8EC"/>
      </x:top>
      <x:bottom style="thin">
        <x:color rgb="FFE1E8EC"/>
      </x:bottom>
    </x:border>
    <x:border>
      <x:top style="thin">
        <x:color rgb="FFE1E8EC"/>
      </x:top>
    </x:border>
    <x:border>
      <x:bottom style="thin">
        <x:color rgb="FFCCD8DF"/>
      </x:bottom>
    </x:border>
    <x:border>
      <x:top style="thin">
        <x:color rgb="FFCCD8DF"/>
      </x:top>
      <x:bottom style="thin">
        <x:color rgb="FFCCD8DF"/>
      </x:bottom>
    </x:border>
    <x:border>
      <x:top style="thin">
        <x:color rgb="FFCCD8DF"/>
      </x:top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5" xfId="0" applyNumberFormat="1" applyFont="1" applyFill="1" applyBorder="1" applyAlignment="1">
      <x:alignment vertical="top"/>
    </x:xf>
    <x:xf numFmtId="0" fontId="6" fillId="0" borderId="6" xfId="0" applyNumberFormat="1" applyFont="1" applyFill="1" applyBorder="1" applyAlignment="1">
      <x:alignment vertical="top"/>
    </x:xf>
    <x:xf numFmtId="0" fontId="6" fillId="0" borderId="7" xfId="0" applyNumberFormat="1" applyFont="1" applyFill="1" applyBorder="1" applyAlignment="1">
      <x:alignment vertical="top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vertical="top"/>
    </x:xf>
    <x:xf numFmtId="200" fontId="6" fillId="0" borderId="6" xfId="0" applyNumberFormat="1" applyFont="1" applyFill="1" applyBorder="1" applyAlignment="1">
      <x:alignment vertical="top"/>
    </x:xf>
    <x:xf numFmtId="200" fontId="6" fillId="0" borderId="7" xfId="0" applyNumberFormat="1" applyFont="1" applyFill="1" applyBorder="1" applyAlignment="1">
      <x:alignment vertical="top"/>
    </x:xf>
    <x:xf numFmtId="201" fontId="6" fillId="0" borderId="5" xfId="0" applyNumberFormat="1" applyFont="1" applyFill="1" applyBorder="1" applyAlignment="1">
      <x:alignment vertical="top" wrapText="1"/>
    </x:xf>
    <x:xf numFmtId="201" fontId="6" fillId="0" borderId="6" xfId="0" applyNumberFormat="1" applyFont="1" applyFill="1" applyBorder="1" applyAlignment="1">
      <x:alignment vertical="top" wrapText="1"/>
    </x:xf>
    <x:xf numFmtId="201" fontId="6" fillId="0" borderId="7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vertical="top" wrapText="1"/>
    </x:xf>
    <x:xf numFmtId="200" fontId="6" fillId="0" borderId="6" xfId="0" applyNumberFormat="1" applyFont="1" applyFill="1" applyBorder="1" applyAlignment="1">
      <x:alignment vertical="top" wrapText="1"/>
    </x:xf>
    <x:xf numFmtId="200" fontId="6" fillId="0" borderId="7" xfId="0" applyNumberFormat="1" applyFont="1" applyFill="1" applyBorder="1" applyAlignment="1">
      <x:alignment vertical="top" wrapText="1"/>
    </x:xf>
    <x:xf numFmtId="202" fontId="6" fillId="0" borderId="5" xfId="0" applyNumberFormat="1" applyFont="1" applyFill="1" applyBorder="1" applyAlignment="1">
      <x:alignment vertical="top" wrapText="1"/>
    </x:xf>
    <x:xf numFmtId="202" fontId="6" fillId="0" borderId="6" xfId="0" applyNumberFormat="1" applyFont="1" applyFill="1" applyBorder="1" applyAlignment="1">
      <x:alignment vertical="top" wrapText="1"/>
    </x:xf>
    <x:xf numFmtId="202" fontId="6" fillId="0" borderId="7" xfId="0" applyNumberFormat="1" applyFont="1" applyFill="1" applyBorder="1" applyAlignment="1">
      <x:alignment vertical="top" wrapText="1"/>
    </x:xf>
    <x:xf numFmtId="202" fontId="6" fillId="0" borderId="5" xfId="0" applyNumberFormat="1" applyFont="1" applyFill="1" applyBorder="1" applyAlignment="1">
      <x:alignment vertical="top"/>
    </x:xf>
    <x:xf numFmtId="202" fontId="6" fillId="0" borderId="6" xfId="0" applyNumberFormat="1" applyFont="1" applyFill="1" applyBorder="1" applyAlignment="1">
      <x:alignment vertical="top"/>
    </x:xf>
    <x:xf numFmtId="202" fontId="6" fillId="0" borderId="7" xfId="0" applyNumberFormat="1" applyFont="1" applyFill="1" applyBorder="1" applyAlignment="1">
      <x:alignment vertical="top"/>
    </x:xf>
    <x:xf numFmtId="201" fontId="6" fillId="6" borderId="5" xfId="0" applyNumberFormat="1" applyFont="1" applyFill="1" applyBorder="1" applyAlignment="1">
      <x:alignment vertical="top" wrapText="1"/>
    </x:xf>
    <x:xf numFmtId="201" fontId="6" fillId="6" borderId="6" xfId="0" applyNumberFormat="1" applyFont="1" applyFill="1" applyBorder="1" applyAlignment="1">
      <x:alignment vertical="top" wrapText="1"/>
    </x:xf>
    <x:xf numFmtId="201" fontId="6" fillId="6" borderId="7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/>
    </x:xf>
    <x:xf numFmtId="0" fontId="6" fillId="4" borderId="6" xfId="0" applyNumberFormat="1" applyFont="1" applyFill="1" applyBorder="1" applyAlignment="1">
      <x:alignment vertical="top"/>
    </x:xf>
    <x:xf numFmtId="0" fontId="6" fillId="4" borderId="7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1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3" borderId="8" xfId="0" applyNumberFormat="1" applyFont="1" applyFill="1" applyBorder="1" applyAlignment="1">
      <x:alignment vertical="top" wrapText="1"/>
    </x:xf>
    <x:xf numFmtId="0" fontId="7" fillId="3" borderId="9" xfId="0" applyNumberFormat="1" applyFont="1" applyFill="1" applyBorder="1" applyAlignment="1">
      <x:alignment vertical="top" wrapText="1"/>
    </x:xf>
    <x:xf numFmtId="0" fontId="7" fillId="3" borderId="10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3" fillId="3" borderId="9" xfId="0" applyNumberFormat="1" applyFont="1" applyFill="1" applyBorder="1" applyAlignment="1">
      <x:alignment vertical="top" wrapText="1"/>
    </x:xf>
    <x:xf numFmtId="0" fontId="3" fillId="3" borderId="10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horizontal="center" vertical="top" wrapText="1"/>
    </x:xf>
    <x:xf numFmtId="0" fontId="3" fillId="3" borderId="9" xfId="0" applyNumberFormat="1" applyFont="1" applyFill="1" applyBorder="1" applyAlignment="1">
      <x:alignment horizontal="center" vertical="top" wrapText="1"/>
    </x:xf>
    <x:xf numFmtId="0" fontId="3" fillId="3" borderId="1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9B1C31"/>
      </x:font>
      <x:fill>
        <x:patternFill patternType="solid">
          <x:bgColor rgb="FFFCE1E4"/>
        </x:patternFill>
      </x:fill>
    </x:dxf>
    <x:dxf>
      <x:font>
        <x:b/>
        <x:color rgb="FF7A5600"/>
      </x:font>
      <x:fill>
        <x:patternFill patternType="solid">
          <x:bgColor rgb="FFFFF2CC"/>
        </x:patternFill>
      </x:fill>
    </x:dxf>
    <x:dxf>
      <x:font>
        <x:b/>
        <x:color rgb="FF0D6848"/>
      </x:font>
      <x:fill>
        <x:patternFill patternType="solid">
          <x:bgColor rgb="FFDDF3E8"/>
        </x:patternFill>
      </x:fill>
    </x:dxf>
    <x:dxf>
      <x:font>
        <x:b/>
        <x:color rgb="FF9B1C31"/>
      </x:font>
      <x:fill>
        <x:patternFill patternType="solid">
          <x:bgColor rgb="FFFCE1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0230941ac448c" /><Relationship Type="http://schemas.openxmlformats.org/officeDocument/2006/relationships/theme" Target="/xl/theme/theme1.xml" Id="R1d128c6483354bef" /><Relationship Type="http://schemas.openxmlformats.org/officeDocument/2006/relationships/sharedStrings" Target="/xl/sharedStrings.xml" Id="R4d5d864fa0c9499e" /><Relationship Type="http://schemas.openxmlformats.org/officeDocument/2006/relationships/worksheet" Target="/xl/worksheets/sheet1.xml" Id="R064d9f147cf0449d" /><Relationship Type="http://schemas.openxmlformats.org/officeDocument/2006/relationships/worksheet" Target="/xl/worksheets/sheet2.xml" Id="Rf25bc98fe6e8445b" /><Relationship Type="http://schemas.openxmlformats.org/officeDocument/2006/relationships/worksheet" Target="/xl/worksheets/sheet3.xml" Id="R12ed770b8058469e" /></Relationships>
</file>

<file path=xl/tables/table1.xml><?xml version="1.0" encoding="utf-8"?>
<x:table xmlns:x="http://schemas.openxmlformats.org/spreadsheetml/2006/main" id="1" name="InventarioCCTL" displayName="InventarioCCTL" ref="A5:Z605" headerRowCount="1" totalsRowCount="0" totalsRowShown="0">
  <x:autoFilter ref="A5:Z605"/>
  <x:tableColumns count="26">
    <x:tableColumn id="1" name="Número de inventario"/>
    <x:tableColumn id="2" name="Código anterior"/>
    <x:tableColumn id="3" name="Título"/>
    <x:tableColumn id="4" name="Autor"/>
    <x:tableColumn id="5" name="Área"/>
    <x:tableColumn id="6" name="Clasificación"/>
    <x:tableColumn id="7" name="Clave autor"/>
    <x:tableColumn id="8" name="Clave título"/>
    <x:tableColumn id="9" name="Signatura"/>
    <x:tableColumn id="10" name="Editorial"/>
    <x:tableColumn id="11" name="Edición"/>
    <x:tableColumn id="12" name="Año"/>
    <x:tableColumn id="13" name="ISBN"/>
    <x:tableColumn id="14" name="Estantería"/>
    <x:tableColumn id="15" name="Balda"/>
    <x:tableColumn id="16" name="Ubicación"/>
    <x:tableColumn id="17" name="Proveedor / procedencia"/>
    <x:tableColumn id="18" name="Forma de adquisición"/>
    <x:tableColumn id="19" name="Fecha de adquisición"/>
    <x:tableColumn id="20" name="Condición"/>
    <x:tableColumn id="21" name="Estado"/>
    <x:tableColumn id="22" name="Observación"/>
    <x:tableColumn id="23" name="Verificado"/>
    <x:tableColumn id="24" name="Fecha de verificación"/>
    <x:tableColumn id="25" name="Control código"/>
    <x:tableColumn id="26" name="Control fil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e81b70aabb47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34" hidden="0" customWidth="1"/>
    <x:col min="4" max="4" width="25" hidden="0" customWidth="1"/>
    <x:col min="5" max="5" width="20" hidden="0" customWidth="1"/>
    <x:col min="6" max="6" width="13" hidden="0" customWidth="1"/>
    <x:col min="7" max="7" width="12" hidden="0" customWidth="1"/>
    <x:col min="8" max="8" width="12" hidden="0" customWidth="1"/>
    <x:col min="9" max="9" width="20" hidden="0" customWidth="1"/>
    <x:col min="10" max="10" width="22" hidden="0" customWidth="1"/>
    <x:col min="11" max="11" width="10" hidden="0" customWidth="1"/>
    <x:col min="12" max="12" width="9" hidden="0" customWidth="1"/>
    <x:col min="13" max="13" width="18" hidden="0" customWidth="1"/>
    <x:col min="14" max="14" width="11" hidden="0" customWidth="1"/>
    <x:col min="15" max="15" width="9" hidden="0" customWidth="1"/>
    <x:col min="16" max="16" width="25" hidden="0" customWidth="1"/>
    <x:col min="17" max="17" width="23" hidden="0" customWidth="1"/>
    <x:col min="18" max="18" width="19" hidden="0" customWidth="1"/>
    <x:col min="19" max="19" width="15" hidden="0" customWidth="1"/>
    <x:col min="20" max="20" width="13" hidden="0" customWidth="1"/>
    <x:col min="21" max="21" width="13" hidden="0" customWidth="1"/>
    <x:col min="22" max="22" width="30" hidden="0" customWidth="1"/>
    <x:col min="23" max="23" width="12" hidden="0" customWidth="1"/>
    <x:col min="24" max="24" width="16" hidden="0" customWidth="1"/>
    <x:col min="25" max="25" width="14" hidden="0" customWidth="1"/>
    <x:col min="26" max="26" width="15" hidden="0" customWidth="1"/>
  </x:cols>
  <x:sheetData>
    <x:row r="1" ht="32" customHeight="1">
      <x:c r="A1" s="4" t="str">
        <x:v>BIBLIOTECA CCTL - INVENTARIO MAESTRO DE LIBROS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5" customHeight="1">
      <x:c r="A2" s="8" t="str">
        <x:v>Una fila representa un ejemplar físico. No cambie un número de inventario histórico que ya fue verificado.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>
      <x:c r="A3" s="11" t="str">
        <x:v>Ejemplares cargados</x:v>
      </x:c>
      <x:c r="B3" s="15" t="n">
        <x:f>COUNTA(A6:A605)</x:f>
        <x:v>1</x:v>
      </x:c>
      <x:c r="C3" s="11" t="str">
        <x:v>Verificados</x:v>
      </x:c>
      <x:c r="D3" s="11" t="n">
        <x:f>COUNTIF(W6:W605,"Sí")</x:f>
        <x:v>1</x:v>
      </x:c>
      <x:c r="E3" s="11" t="str">
        <x:v>Pendientes</x:v>
      </x:c>
      <x:c r="F3" s="11" t="n">
        <x:f>COUNTIF(Z6:Z605,"PENDIENTE")</x:f>
        <x:v>0</x:v>
      </x:c>
      <x:c r="G3" s="11" t="str">
        <x:v>Códigos repetidos</x:v>
      </x:c>
      <x:c r="H3" s="11" t="n">
        <x:f>COUNTIF(Y6:Y605,"DUPLICADO")</x:f>
        <x:v>0</x:v>
      </x:c>
    </x:row>
    <x:row r="5" ht="42" customHeight="1">
      <x:c r="A5" s="26" t="str">
        <x:v>Número de inventario</x:v>
      </x:c>
      <x:c r="B5" s="27" t="str">
        <x:v>Código anterior</x:v>
      </x:c>
      <x:c r="C5" s="27" t="str">
        <x:v>Título</x:v>
      </x:c>
      <x:c r="D5" s="27" t="str">
        <x:v>Autor</x:v>
      </x:c>
      <x:c r="E5" s="27" t="str">
        <x:v>Área</x:v>
      </x:c>
      <x:c r="F5" s="27" t="str">
        <x:v>Clasificación</x:v>
      </x:c>
      <x:c r="G5" s="27" t="str">
        <x:v>Clave autor</x:v>
      </x:c>
      <x:c r="H5" s="27" t="str">
        <x:v>Clave título</x:v>
      </x:c>
      <x:c r="I5" s="27" t="str">
        <x:v>Signatura</x:v>
      </x:c>
      <x:c r="J5" s="27" t="str">
        <x:v>Editorial</x:v>
      </x:c>
      <x:c r="K5" s="27" t="str">
        <x:v>Edición</x:v>
      </x:c>
      <x:c r="L5" s="27" t="str">
        <x:v>Año</x:v>
      </x:c>
      <x:c r="M5" s="27" t="str">
        <x:v>ISBN</x:v>
      </x:c>
      <x:c r="N5" s="27" t="str">
        <x:v>Estantería</x:v>
      </x:c>
      <x:c r="O5" s="27" t="str">
        <x:v>Balda</x:v>
      </x:c>
      <x:c r="P5" s="27" t="str">
        <x:v>Ubicación</x:v>
      </x:c>
      <x:c r="Q5" s="27" t="str">
        <x:v>Proveedor / procedencia</x:v>
      </x:c>
      <x:c r="R5" s="27" t="str">
        <x:v>Forma de adquisición</x:v>
      </x:c>
      <x:c r="S5" s="27" t="str">
        <x:v>Fecha de adquisición</x:v>
      </x:c>
      <x:c r="T5" s="27" t="str">
        <x:v>Condición</x:v>
      </x:c>
      <x:c r="U5" s="27" t="str">
        <x:v>Estado</x:v>
      </x:c>
      <x:c r="V5" s="27" t="str">
        <x:v>Observación</x:v>
      </x:c>
      <x:c r="W5" s="27" t="str">
        <x:v>Verificado</x:v>
      </x:c>
      <x:c r="X5" s="27" t="str">
        <x:v>Fecha de verificación</x:v>
      </x:c>
      <x:c r="Y5" s="27" t="str">
        <x:v>Control código</x:v>
      </x:c>
      <x:c r="Z5" s="28" t="str">
        <x:v>Control fila</x:v>
      </x:c>
    </x:row>
    <x:row r="6">
      <x:c r="A6" s="39" t="n">
        <x:v>5011</x:v>
      </x:c>
      <x:c r="B6" s="39" t="str">
        <x:v>5011</x:v>
      </x:c>
      <x:c r="C6" s="36" t="str">
        <x:v>Geometría</x:v>
      </x:c>
      <x:c r="D6" s="36" t="str">
        <x:v>Aurelio Baldor</x:v>
      </x:c>
      <x:c r="E6" s="36" t="str">
        <x:v>Matemática</x:v>
      </x:c>
      <x:c r="F6" s="42" t="str">
        <x:v>516.3</x:v>
      </x:c>
      <x:c r="G6" s="42" t="str">
        <x:v>BAL</x:v>
      </x:c>
      <x:c r="H6" s="42" t="str">
        <x:v>geo</x:v>
      </x:c>
      <x:c r="I6" s="54" t="str">
        <x:f>IF(OR(F6="",G6="",H6=""),"",F6&amp;" "&amp;UPPER(G6)&amp;"."&amp;LOWER(H6))</x:f>
        <x:v>516.3 BAL.geo</x:v>
      </x:c>
      <x:c r="J6" s="36" t="str"/>
      <x:c r="K6" s="36" t="str"/>
      <x:c r="L6" s="45"/>
      <x:c r="M6" s="42" t="str"/>
      <x:c r="N6" s="42" t="str">
        <x:v>1</x:v>
      </x:c>
      <x:c r="O6" s="42" t="str">
        <x:v>A</x:v>
      </x:c>
      <x:c r="P6" s="57" t="str">
        <x:f>IF(N6="","","Estantería "&amp;N6&amp;IF(O6="",""," - Balda "&amp;N6&amp;O6))</x:f>
        <x:v>Estantería 1 - Balda 1A</x:v>
      </x:c>
      <x:c r="Q6" s="36" t="str"/>
      <x:c r="R6" s="36" t="str"/>
      <x:c r="S6" s="48"/>
      <x:c r="T6" s="36" t="str">
        <x:v>Bueno</x:v>
      </x:c>
      <x:c r="U6" s="36" t="str">
        <x:v>Disponible</x:v>
      </x:c>
      <x:c r="V6" s="36" t="str">
        <x:v>Ejemplo: reemplazar o eliminar esta fila al comenzar.</x:v>
      </x:c>
      <x:c r="W6" s="33" t="str">
        <x:v>Sí</x:v>
      </x:c>
      <x:c r="X6" s="51" t="n">
        <x:v>46241</x:v>
      </x:c>
      <x:c r="Y6" s="60" t="str">
        <x:f>IF(A6="","",IF(COUNTIF($A$6:$A$605,A6)&gt;1,"DUPLICADO","OK"))</x:f>
        <x:v>OK</x:v>
      </x:c>
      <x:c r="Z6" s="60" t="str">
        <x:f>IF(A6="","",IF(C6="","FALTA TÍTULO",IF(E6="","FALTA ÁREA",IF(W6&lt;&gt;"Sí","PENDIENTE","LISTO"))))</x:f>
        <x:v>LISTO</x:v>
      </x:c>
    </x:row>
    <x:row r="7">
      <x:c r="A7" s="40"/>
      <x:c r="B7" s="40"/>
      <x:c r="C7" s="37"/>
      <x:c r="D7" s="37"/>
      <x:c r="E7" s="37"/>
      <x:c r="F7" s="43"/>
      <x:c r="G7" s="43"/>
      <x:c r="H7" s="43"/>
      <x:c r="I7" s="55" t="str">
        <x:f>IF(OR(F7="",G7="",H7=""),"",F7&amp;" "&amp;UPPER(G7)&amp;"."&amp;LOWER(H7))</x:f>
      </x:c>
      <x:c r="J7" s="37"/>
      <x:c r="K7" s="37"/>
      <x:c r="L7" s="46"/>
      <x:c r="M7" s="43"/>
      <x:c r="N7" s="43"/>
      <x:c r="O7" s="43"/>
      <x:c r="P7" s="58" t="str">
        <x:f>IF(N7="","","Estantería "&amp;N7&amp;IF(O7="",""," - Balda "&amp;N7&amp;O7))</x:f>
      </x:c>
      <x:c r="Q7" s="37"/>
      <x:c r="R7" s="37"/>
      <x:c r="S7" s="49"/>
      <x:c r="T7" s="37"/>
      <x:c r="U7" s="37"/>
      <x:c r="V7" s="37"/>
      <x:c r="W7" s="34"/>
      <x:c r="X7" s="52"/>
      <x:c r="Y7" s="61" t="str">
        <x:f>IF(A7="","",IF(COUNTIF($A$6:$A$605,A7)&gt;1,"DUPLICADO","OK"))</x:f>
      </x:c>
      <x:c r="Z7" s="61" t="str">
        <x:f>IF(A7="","",IF(C7="","FALTA TÍTULO",IF(E7="","FALTA ÁREA",IF(W7&lt;&gt;"Sí","PENDIENTE","LISTO"))))</x:f>
      </x:c>
    </x:row>
    <x:row r="8">
      <x:c r="A8" s="40"/>
      <x:c r="B8" s="40"/>
      <x:c r="C8" s="37"/>
      <x:c r="D8" s="37"/>
      <x:c r="E8" s="37"/>
      <x:c r="F8" s="43"/>
      <x:c r="G8" s="43"/>
      <x:c r="H8" s="43"/>
      <x:c r="I8" s="55" t="str">
        <x:f>IF(OR(F8="",G8="",H8=""),"",F8&amp;" "&amp;UPPER(G8)&amp;"."&amp;LOWER(H8))</x:f>
      </x:c>
      <x:c r="J8" s="37"/>
      <x:c r="K8" s="37"/>
      <x:c r="L8" s="46"/>
      <x:c r="M8" s="43"/>
      <x:c r="N8" s="43"/>
      <x:c r="O8" s="43"/>
      <x:c r="P8" s="58" t="str">
        <x:f>IF(N8="","","Estantería "&amp;N8&amp;IF(O8="",""," - Balda "&amp;N8&amp;O8))</x:f>
      </x:c>
      <x:c r="Q8" s="37"/>
      <x:c r="R8" s="37"/>
      <x:c r="S8" s="49"/>
      <x:c r="T8" s="37"/>
      <x:c r="U8" s="37"/>
      <x:c r="V8" s="37"/>
      <x:c r="W8" s="34"/>
      <x:c r="X8" s="52"/>
      <x:c r="Y8" s="61" t="str">
        <x:f>IF(A8="","",IF(COUNTIF($A$6:$A$605,A8)&gt;1,"DUPLICADO","OK"))</x:f>
      </x:c>
      <x:c r="Z8" s="61" t="str">
        <x:f>IF(A8="","",IF(C8="","FALTA TÍTULO",IF(E8="","FALTA ÁREA",IF(W8&lt;&gt;"Sí","PENDIENTE","LISTO"))))</x:f>
      </x:c>
    </x:row>
    <x:row r="9">
      <x:c r="A9" s="40"/>
      <x:c r="B9" s="40"/>
      <x:c r="C9" s="37"/>
      <x:c r="D9" s="37"/>
      <x:c r="E9" s="37"/>
      <x:c r="F9" s="43"/>
      <x:c r="G9" s="43"/>
      <x:c r="H9" s="43"/>
      <x:c r="I9" s="55" t="str">
        <x:f>IF(OR(F9="",G9="",H9=""),"",F9&amp;" "&amp;UPPER(G9)&amp;"."&amp;LOWER(H9))</x:f>
      </x:c>
      <x:c r="J9" s="37"/>
      <x:c r="K9" s="37"/>
      <x:c r="L9" s="46"/>
      <x:c r="M9" s="43"/>
      <x:c r="N9" s="43"/>
      <x:c r="O9" s="43"/>
      <x:c r="P9" s="58" t="str">
        <x:f>IF(N9="","","Estantería "&amp;N9&amp;IF(O9="",""," - Balda "&amp;N9&amp;O9))</x:f>
      </x:c>
      <x:c r="Q9" s="37"/>
      <x:c r="R9" s="37"/>
      <x:c r="S9" s="49"/>
      <x:c r="T9" s="37"/>
      <x:c r="U9" s="37"/>
      <x:c r="V9" s="37"/>
      <x:c r="W9" s="34"/>
      <x:c r="X9" s="52"/>
      <x:c r="Y9" s="61" t="str">
        <x:f>IF(A9="","",IF(COUNTIF($A$6:$A$605,A9)&gt;1,"DUPLICADO","OK"))</x:f>
      </x:c>
      <x:c r="Z9" s="61" t="str">
        <x:f>IF(A9="","",IF(C9="","FALTA TÍTULO",IF(E9="","FALTA ÁREA",IF(W9&lt;&gt;"Sí","PENDIENTE","LISTO"))))</x:f>
      </x:c>
    </x:row>
    <x:row r="10">
      <x:c r="A10" s="40"/>
      <x:c r="B10" s="40"/>
      <x:c r="C10" s="37"/>
      <x:c r="D10" s="37"/>
      <x:c r="E10" s="37"/>
      <x:c r="F10" s="43"/>
      <x:c r="G10" s="43"/>
      <x:c r="H10" s="43"/>
      <x:c r="I10" s="55" t="str">
        <x:f>IF(OR(F10="",G10="",H10=""),"",F10&amp;" "&amp;UPPER(G10)&amp;"."&amp;LOWER(H10))</x:f>
      </x:c>
      <x:c r="J10" s="37"/>
      <x:c r="K10" s="37"/>
      <x:c r="L10" s="46"/>
      <x:c r="M10" s="43"/>
      <x:c r="N10" s="43"/>
      <x:c r="O10" s="43"/>
      <x:c r="P10" s="58" t="str">
        <x:f>IF(N10="","","Estantería "&amp;N10&amp;IF(O10="",""," - Balda "&amp;N10&amp;O10))</x:f>
      </x:c>
      <x:c r="Q10" s="37"/>
      <x:c r="R10" s="37"/>
      <x:c r="S10" s="49"/>
      <x:c r="T10" s="37"/>
      <x:c r="U10" s="37"/>
      <x:c r="V10" s="37"/>
      <x:c r="W10" s="34"/>
      <x:c r="X10" s="52"/>
      <x:c r="Y10" s="61" t="str">
        <x:f>IF(A10="","",IF(COUNTIF($A$6:$A$605,A10)&gt;1,"DUPLICADO","OK"))</x:f>
      </x:c>
      <x:c r="Z10" s="61" t="str">
        <x:f>IF(A10="","",IF(C10="","FALTA TÍTULO",IF(E10="","FALTA ÁREA",IF(W10&lt;&gt;"Sí","PENDIENTE","LISTO"))))</x:f>
      </x:c>
    </x:row>
    <x:row r="11">
      <x:c r="A11" s="40"/>
      <x:c r="B11" s="40"/>
      <x:c r="C11" s="37"/>
      <x:c r="D11" s="37"/>
      <x:c r="E11" s="37"/>
      <x:c r="F11" s="43"/>
      <x:c r="G11" s="43"/>
      <x:c r="H11" s="43"/>
      <x:c r="I11" s="55" t="str">
        <x:f>IF(OR(F11="",G11="",H11=""),"",F11&amp;" "&amp;UPPER(G11)&amp;"."&amp;LOWER(H11))</x:f>
      </x:c>
      <x:c r="J11" s="37"/>
      <x:c r="K11" s="37"/>
      <x:c r="L11" s="46"/>
      <x:c r="M11" s="43"/>
      <x:c r="N11" s="43"/>
      <x:c r="O11" s="43"/>
      <x:c r="P11" s="58" t="str">
        <x:f>IF(N11="","","Estantería "&amp;N11&amp;IF(O11="",""," - Balda "&amp;N11&amp;O11))</x:f>
      </x:c>
      <x:c r="Q11" s="37"/>
      <x:c r="R11" s="37"/>
      <x:c r="S11" s="49"/>
      <x:c r="T11" s="37"/>
      <x:c r="U11" s="37"/>
      <x:c r="V11" s="37"/>
      <x:c r="W11" s="34"/>
      <x:c r="X11" s="52"/>
      <x:c r="Y11" s="61" t="str">
        <x:f>IF(A11="","",IF(COUNTIF($A$6:$A$605,A11)&gt;1,"DUPLICADO","OK"))</x:f>
      </x:c>
      <x:c r="Z11" s="61" t="str">
        <x:f>IF(A11="","",IF(C11="","FALTA TÍTULO",IF(E11="","FALTA ÁREA",IF(W11&lt;&gt;"Sí","PENDIENTE","LISTO"))))</x:f>
      </x:c>
    </x:row>
    <x:row r="12">
      <x:c r="A12" s="40"/>
      <x:c r="B12" s="40"/>
      <x:c r="C12" s="37"/>
      <x:c r="D12" s="37"/>
      <x:c r="E12" s="37"/>
      <x:c r="F12" s="43"/>
      <x:c r="G12" s="43"/>
      <x:c r="H12" s="43"/>
      <x:c r="I12" s="55" t="str">
        <x:f>IF(OR(F12="",G12="",H12=""),"",F12&amp;" "&amp;UPPER(G12)&amp;"."&amp;LOWER(H12))</x:f>
      </x:c>
      <x:c r="J12" s="37"/>
      <x:c r="K12" s="37"/>
      <x:c r="L12" s="46"/>
      <x:c r="M12" s="43"/>
      <x:c r="N12" s="43"/>
      <x:c r="O12" s="43"/>
      <x:c r="P12" s="58" t="str">
        <x:f>IF(N12="","","Estantería "&amp;N12&amp;IF(O12="",""," - Balda "&amp;N12&amp;O12))</x:f>
      </x:c>
      <x:c r="Q12" s="37"/>
      <x:c r="R12" s="37"/>
      <x:c r="S12" s="49"/>
      <x:c r="T12" s="37"/>
      <x:c r="U12" s="37"/>
      <x:c r="V12" s="37"/>
      <x:c r="W12" s="34"/>
      <x:c r="X12" s="52"/>
      <x:c r="Y12" s="61" t="str">
        <x:f>IF(A12="","",IF(COUNTIF($A$6:$A$605,A12)&gt;1,"DUPLICADO","OK"))</x:f>
      </x:c>
      <x:c r="Z12" s="61" t="str">
        <x:f>IF(A12="","",IF(C12="","FALTA TÍTULO",IF(E12="","FALTA ÁREA",IF(W12&lt;&gt;"Sí","PENDIENTE","LISTO"))))</x:f>
      </x:c>
    </x:row>
    <x:row r="13">
      <x:c r="A13" s="40"/>
      <x:c r="B13" s="40"/>
      <x:c r="C13" s="37"/>
      <x:c r="D13" s="37"/>
      <x:c r="E13" s="37"/>
      <x:c r="F13" s="43"/>
      <x:c r="G13" s="43"/>
      <x:c r="H13" s="43"/>
      <x:c r="I13" s="55" t="str">
        <x:f>IF(OR(F13="",G13="",H13=""),"",F13&amp;" "&amp;UPPER(G13)&amp;"."&amp;LOWER(H13))</x:f>
      </x:c>
      <x:c r="J13" s="37"/>
      <x:c r="K13" s="37"/>
      <x:c r="L13" s="46"/>
      <x:c r="M13" s="43"/>
      <x:c r="N13" s="43"/>
      <x:c r="O13" s="43"/>
      <x:c r="P13" s="58" t="str">
        <x:f>IF(N13="","","Estantería "&amp;N13&amp;IF(O13="",""," - Balda "&amp;N13&amp;O13))</x:f>
      </x:c>
      <x:c r="Q13" s="37"/>
      <x:c r="R13" s="37"/>
      <x:c r="S13" s="49"/>
      <x:c r="T13" s="37"/>
      <x:c r="U13" s="37"/>
      <x:c r="V13" s="37"/>
      <x:c r="W13" s="34"/>
      <x:c r="X13" s="52"/>
      <x:c r="Y13" s="61" t="str">
        <x:f>IF(A13="","",IF(COUNTIF($A$6:$A$605,A13)&gt;1,"DUPLICADO","OK"))</x:f>
      </x:c>
      <x:c r="Z13" s="61" t="str">
        <x:f>IF(A13="","",IF(C13="","FALTA TÍTULO",IF(E13="","FALTA ÁREA",IF(W13&lt;&gt;"Sí","PENDIENTE","LISTO"))))</x:f>
      </x:c>
    </x:row>
    <x:row r="14">
      <x:c r="A14" s="40"/>
      <x:c r="B14" s="40"/>
      <x:c r="C14" s="37"/>
      <x:c r="D14" s="37"/>
      <x:c r="E14" s="37"/>
      <x:c r="F14" s="43"/>
      <x:c r="G14" s="43"/>
      <x:c r="H14" s="43"/>
      <x:c r="I14" s="55" t="str">
        <x:f>IF(OR(F14="",G14="",H14=""),"",F14&amp;" "&amp;UPPER(G14)&amp;"."&amp;LOWER(H14))</x:f>
      </x:c>
      <x:c r="J14" s="37"/>
      <x:c r="K14" s="37"/>
      <x:c r="L14" s="46"/>
      <x:c r="M14" s="43"/>
      <x:c r="N14" s="43"/>
      <x:c r="O14" s="43"/>
      <x:c r="P14" s="58" t="str">
        <x:f>IF(N14="","","Estantería "&amp;N14&amp;IF(O14="",""," - Balda "&amp;N14&amp;O14))</x:f>
      </x:c>
      <x:c r="Q14" s="37"/>
      <x:c r="R14" s="37"/>
      <x:c r="S14" s="49"/>
      <x:c r="T14" s="37"/>
      <x:c r="U14" s="37"/>
      <x:c r="V14" s="37"/>
      <x:c r="W14" s="34"/>
      <x:c r="X14" s="52"/>
      <x:c r="Y14" s="61" t="str">
        <x:f>IF(A14="","",IF(COUNTIF($A$6:$A$605,A14)&gt;1,"DUPLICADO","OK"))</x:f>
      </x:c>
      <x:c r="Z14" s="61" t="str">
        <x:f>IF(A14="","",IF(C14="","FALTA TÍTULO",IF(E14="","FALTA ÁREA",IF(W14&lt;&gt;"Sí","PENDIENTE","LISTO"))))</x:f>
      </x:c>
    </x:row>
    <x:row r="15">
      <x:c r="A15" s="40"/>
      <x:c r="B15" s="40"/>
      <x:c r="C15" s="37"/>
      <x:c r="D15" s="37"/>
      <x:c r="E15" s="37"/>
      <x:c r="F15" s="43"/>
      <x:c r="G15" s="43"/>
      <x:c r="H15" s="43"/>
      <x:c r="I15" s="55" t="str">
        <x:f>IF(OR(F15="",G15="",H15=""),"",F15&amp;" "&amp;UPPER(G15)&amp;"."&amp;LOWER(H15))</x:f>
      </x:c>
      <x:c r="J15" s="37"/>
      <x:c r="K15" s="37"/>
      <x:c r="L15" s="46"/>
      <x:c r="M15" s="43"/>
      <x:c r="N15" s="43"/>
      <x:c r="O15" s="43"/>
      <x:c r="P15" s="58" t="str">
        <x:f>IF(N15="","","Estantería "&amp;N15&amp;IF(O15="",""," - Balda "&amp;N15&amp;O15))</x:f>
      </x:c>
      <x:c r="Q15" s="37"/>
      <x:c r="R15" s="37"/>
      <x:c r="S15" s="49"/>
      <x:c r="T15" s="37"/>
      <x:c r="U15" s="37"/>
      <x:c r="V15" s="37"/>
      <x:c r="W15" s="34"/>
      <x:c r="X15" s="52"/>
      <x:c r="Y15" s="61" t="str">
        <x:f>IF(A15="","",IF(COUNTIF($A$6:$A$605,A15)&gt;1,"DUPLICADO","OK"))</x:f>
      </x:c>
      <x:c r="Z15" s="61" t="str">
        <x:f>IF(A15="","",IF(C15="","FALTA TÍTULO",IF(E15="","FALTA ÁREA",IF(W15&lt;&gt;"Sí","PENDIENTE","LISTO"))))</x:f>
      </x:c>
    </x:row>
    <x:row r="16">
      <x:c r="A16" s="40"/>
      <x:c r="B16" s="40"/>
      <x:c r="C16" s="37"/>
      <x:c r="D16" s="37"/>
      <x:c r="E16" s="37"/>
      <x:c r="F16" s="43"/>
      <x:c r="G16" s="43"/>
      <x:c r="H16" s="43"/>
      <x:c r="I16" s="55" t="str">
        <x:f>IF(OR(F16="",G16="",H16=""),"",F16&amp;" "&amp;UPPER(G16)&amp;"."&amp;LOWER(H16))</x:f>
      </x:c>
      <x:c r="J16" s="37"/>
      <x:c r="K16" s="37"/>
      <x:c r="L16" s="46"/>
      <x:c r="M16" s="43"/>
      <x:c r="N16" s="43"/>
      <x:c r="O16" s="43"/>
      <x:c r="P16" s="58" t="str">
        <x:f>IF(N16="","","Estantería "&amp;N16&amp;IF(O16="",""," - Balda "&amp;N16&amp;O16))</x:f>
      </x:c>
      <x:c r="Q16" s="37"/>
      <x:c r="R16" s="37"/>
      <x:c r="S16" s="49"/>
      <x:c r="T16" s="37"/>
      <x:c r="U16" s="37"/>
      <x:c r="V16" s="37"/>
      <x:c r="W16" s="34"/>
      <x:c r="X16" s="52"/>
      <x:c r="Y16" s="61" t="str">
        <x:f>IF(A16="","",IF(COUNTIF($A$6:$A$605,A16)&gt;1,"DUPLICADO","OK"))</x:f>
      </x:c>
      <x:c r="Z16" s="61" t="str">
        <x:f>IF(A16="","",IF(C16="","FALTA TÍTULO",IF(E16="","FALTA ÁREA",IF(W16&lt;&gt;"Sí","PENDIENTE","LISTO"))))</x:f>
      </x:c>
    </x:row>
    <x:row r="17">
      <x:c r="A17" s="40"/>
      <x:c r="B17" s="40"/>
      <x:c r="C17" s="37"/>
      <x:c r="D17" s="37"/>
      <x:c r="E17" s="37"/>
      <x:c r="F17" s="43"/>
      <x:c r="G17" s="43"/>
      <x:c r="H17" s="43"/>
      <x:c r="I17" s="55" t="str">
        <x:f>IF(OR(F17="",G17="",H17=""),"",F17&amp;" "&amp;UPPER(G17)&amp;"."&amp;LOWER(H17))</x:f>
      </x:c>
      <x:c r="J17" s="37"/>
      <x:c r="K17" s="37"/>
      <x:c r="L17" s="46"/>
      <x:c r="M17" s="43"/>
      <x:c r="N17" s="43"/>
      <x:c r="O17" s="43"/>
      <x:c r="P17" s="58" t="str">
        <x:f>IF(N17="","","Estantería "&amp;N17&amp;IF(O17="",""," - Balda "&amp;N17&amp;O17))</x:f>
      </x:c>
      <x:c r="Q17" s="37"/>
      <x:c r="R17" s="37"/>
      <x:c r="S17" s="49"/>
      <x:c r="T17" s="37"/>
      <x:c r="U17" s="37"/>
      <x:c r="V17" s="37"/>
      <x:c r="W17" s="34"/>
      <x:c r="X17" s="52"/>
      <x:c r="Y17" s="61" t="str">
        <x:f>IF(A17="","",IF(COUNTIF($A$6:$A$605,A17)&gt;1,"DUPLICADO","OK"))</x:f>
      </x:c>
      <x:c r="Z17" s="61" t="str">
        <x:f>IF(A17="","",IF(C17="","FALTA TÍTULO",IF(E17="","FALTA ÁREA",IF(W17&lt;&gt;"Sí","PENDIENTE","LISTO"))))</x:f>
      </x:c>
    </x:row>
    <x:row r="18">
      <x:c r="A18" s="40"/>
      <x:c r="B18" s="40"/>
      <x:c r="C18" s="37"/>
      <x:c r="D18" s="37"/>
      <x:c r="E18" s="37"/>
      <x:c r="F18" s="43"/>
      <x:c r="G18" s="43"/>
      <x:c r="H18" s="43"/>
      <x:c r="I18" s="55" t="str">
        <x:f>IF(OR(F18="",G18="",H18=""),"",F18&amp;" "&amp;UPPER(G18)&amp;"."&amp;LOWER(H18))</x:f>
      </x:c>
      <x:c r="J18" s="37"/>
      <x:c r="K18" s="37"/>
      <x:c r="L18" s="46"/>
      <x:c r="M18" s="43"/>
      <x:c r="N18" s="43"/>
      <x:c r="O18" s="43"/>
      <x:c r="P18" s="58" t="str">
        <x:f>IF(N18="","","Estantería "&amp;N18&amp;IF(O18="",""," - Balda "&amp;N18&amp;O18))</x:f>
      </x:c>
      <x:c r="Q18" s="37"/>
      <x:c r="R18" s="37"/>
      <x:c r="S18" s="49"/>
      <x:c r="T18" s="37"/>
      <x:c r="U18" s="37"/>
      <x:c r="V18" s="37"/>
      <x:c r="W18" s="34"/>
      <x:c r="X18" s="52"/>
      <x:c r="Y18" s="61" t="str">
        <x:f>IF(A18="","",IF(COUNTIF($A$6:$A$605,A18)&gt;1,"DUPLICADO","OK"))</x:f>
      </x:c>
      <x:c r="Z18" s="61" t="str">
        <x:f>IF(A18="","",IF(C18="","FALTA TÍTULO",IF(E18="","FALTA ÁREA",IF(W18&lt;&gt;"Sí","PENDIENTE","LISTO"))))</x:f>
      </x:c>
    </x:row>
    <x:row r="19">
      <x:c r="A19" s="40"/>
      <x:c r="B19" s="40"/>
      <x:c r="C19" s="37"/>
      <x:c r="D19" s="37"/>
      <x:c r="E19" s="37"/>
      <x:c r="F19" s="43"/>
      <x:c r="G19" s="43"/>
      <x:c r="H19" s="43"/>
      <x:c r="I19" s="55" t="str">
        <x:f>IF(OR(F19="",G19="",H19=""),"",F19&amp;" "&amp;UPPER(G19)&amp;"."&amp;LOWER(H19))</x:f>
      </x:c>
      <x:c r="J19" s="37"/>
      <x:c r="K19" s="37"/>
      <x:c r="L19" s="46"/>
      <x:c r="M19" s="43"/>
      <x:c r="N19" s="43"/>
      <x:c r="O19" s="43"/>
      <x:c r="P19" s="58" t="str">
        <x:f>IF(N19="","","Estantería "&amp;N19&amp;IF(O19="",""," - Balda "&amp;N19&amp;O19))</x:f>
      </x:c>
      <x:c r="Q19" s="37"/>
      <x:c r="R19" s="37"/>
      <x:c r="S19" s="49"/>
      <x:c r="T19" s="37"/>
      <x:c r="U19" s="37"/>
      <x:c r="V19" s="37"/>
      <x:c r="W19" s="34"/>
      <x:c r="X19" s="52"/>
      <x:c r="Y19" s="61" t="str">
        <x:f>IF(A19="","",IF(COUNTIF($A$6:$A$605,A19)&gt;1,"DUPLICADO","OK"))</x:f>
      </x:c>
      <x:c r="Z19" s="61" t="str">
        <x:f>IF(A19="","",IF(C19="","FALTA TÍTULO",IF(E19="","FALTA ÁREA",IF(W19&lt;&gt;"Sí","PENDIENTE","LISTO"))))</x:f>
      </x:c>
    </x:row>
    <x:row r="20">
      <x:c r="A20" s="40"/>
      <x:c r="B20" s="40"/>
      <x:c r="C20" s="37"/>
      <x:c r="D20" s="37"/>
      <x:c r="E20" s="37"/>
      <x:c r="F20" s="43"/>
      <x:c r="G20" s="43"/>
      <x:c r="H20" s="43"/>
      <x:c r="I20" s="55" t="str">
        <x:f>IF(OR(F20="",G20="",H20=""),"",F20&amp;" "&amp;UPPER(G20)&amp;"."&amp;LOWER(H20))</x:f>
      </x:c>
      <x:c r="J20" s="37"/>
      <x:c r="K20" s="37"/>
      <x:c r="L20" s="46"/>
      <x:c r="M20" s="43"/>
      <x:c r="N20" s="43"/>
      <x:c r="O20" s="43"/>
      <x:c r="P20" s="58" t="str">
        <x:f>IF(N20="","","Estantería "&amp;N20&amp;IF(O20="",""," - Balda "&amp;N20&amp;O20))</x:f>
      </x:c>
      <x:c r="Q20" s="37"/>
      <x:c r="R20" s="37"/>
      <x:c r="S20" s="49"/>
      <x:c r="T20" s="37"/>
      <x:c r="U20" s="37"/>
      <x:c r="V20" s="37"/>
      <x:c r="W20" s="34"/>
      <x:c r="X20" s="52"/>
      <x:c r="Y20" s="61" t="str">
        <x:f>IF(A20="","",IF(COUNTIF($A$6:$A$605,A20)&gt;1,"DUPLICADO","OK"))</x:f>
      </x:c>
      <x:c r="Z20" s="61" t="str">
        <x:f>IF(A20="","",IF(C20="","FALTA TÍTULO",IF(E20="","FALTA ÁREA",IF(W20&lt;&gt;"Sí","PENDIENTE","LISTO"))))</x:f>
      </x:c>
    </x:row>
    <x:row r="21">
      <x:c r="A21" s="40"/>
      <x:c r="B21" s="40"/>
      <x:c r="C21" s="37"/>
      <x:c r="D21" s="37"/>
      <x:c r="E21" s="37"/>
      <x:c r="F21" s="43"/>
      <x:c r="G21" s="43"/>
      <x:c r="H21" s="43"/>
      <x:c r="I21" s="55" t="str">
        <x:f>IF(OR(F21="",G21="",H21=""),"",F21&amp;" "&amp;UPPER(G21)&amp;"."&amp;LOWER(H21))</x:f>
      </x:c>
      <x:c r="J21" s="37"/>
      <x:c r="K21" s="37"/>
      <x:c r="L21" s="46"/>
      <x:c r="M21" s="43"/>
      <x:c r="N21" s="43"/>
      <x:c r="O21" s="43"/>
      <x:c r="P21" s="58" t="str">
        <x:f>IF(N21="","","Estantería "&amp;N21&amp;IF(O21="",""," - Balda "&amp;N21&amp;O21))</x:f>
      </x:c>
      <x:c r="Q21" s="37"/>
      <x:c r="R21" s="37"/>
      <x:c r="S21" s="49"/>
      <x:c r="T21" s="37"/>
      <x:c r="U21" s="37"/>
      <x:c r="V21" s="37"/>
      <x:c r="W21" s="34"/>
      <x:c r="X21" s="52"/>
      <x:c r="Y21" s="61" t="str">
        <x:f>IF(A21="","",IF(COUNTIF($A$6:$A$605,A21)&gt;1,"DUPLICADO","OK"))</x:f>
      </x:c>
      <x:c r="Z21" s="61" t="str">
        <x:f>IF(A21="","",IF(C21="","FALTA TÍTULO",IF(E21="","FALTA ÁREA",IF(W21&lt;&gt;"Sí","PENDIENTE","LISTO"))))</x:f>
      </x:c>
    </x:row>
    <x:row r="22">
      <x:c r="A22" s="40"/>
      <x:c r="B22" s="40"/>
      <x:c r="C22" s="37"/>
      <x:c r="D22" s="37"/>
      <x:c r="E22" s="37"/>
      <x:c r="F22" s="43"/>
      <x:c r="G22" s="43"/>
      <x:c r="H22" s="43"/>
      <x:c r="I22" s="55" t="str">
        <x:f>IF(OR(F22="",G22="",H22=""),"",F22&amp;" "&amp;UPPER(G22)&amp;"."&amp;LOWER(H22))</x:f>
      </x:c>
      <x:c r="J22" s="37"/>
      <x:c r="K22" s="37"/>
      <x:c r="L22" s="46"/>
      <x:c r="M22" s="43"/>
      <x:c r="N22" s="43"/>
      <x:c r="O22" s="43"/>
      <x:c r="P22" s="58" t="str">
        <x:f>IF(N22="","","Estantería "&amp;N22&amp;IF(O22="",""," - Balda "&amp;N22&amp;O22))</x:f>
      </x:c>
      <x:c r="Q22" s="37"/>
      <x:c r="R22" s="37"/>
      <x:c r="S22" s="49"/>
      <x:c r="T22" s="37"/>
      <x:c r="U22" s="37"/>
      <x:c r="V22" s="37"/>
      <x:c r="W22" s="34"/>
      <x:c r="X22" s="52"/>
      <x:c r="Y22" s="61" t="str">
        <x:f>IF(A22="","",IF(COUNTIF($A$6:$A$605,A22)&gt;1,"DUPLICADO","OK"))</x:f>
      </x:c>
      <x:c r="Z22" s="61" t="str">
        <x:f>IF(A22="","",IF(C22="","FALTA TÍTULO",IF(E22="","FALTA ÁREA",IF(W22&lt;&gt;"Sí","PENDIENTE","LISTO"))))</x:f>
      </x:c>
    </x:row>
    <x:row r="23">
      <x:c r="A23" s="40"/>
      <x:c r="B23" s="40"/>
      <x:c r="C23" s="37"/>
      <x:c r="D23" s="37"/>
      <x:c r="E23" s="37"/>
      <x:c r="F23" s="43"/>
      <x:c r="G23" s="43"/>
      <x:c r="H23" s="43"/>
      <x:c r="I23" s="55" t="str">
        <x:f>IF(OR(F23="",G23="",H23=""),"",F23&amp;" "&amp;UPPER(G23)&amp;"."&amp;LOWER(H23))</x:f>
      </x:c>
      <x:c r="J23" s="37"/>
      <x:c r="K23" s="37"/>
      <x:c r="L23" s="46"/>
      <x:c r="M23" s="43"/>
      <x:c r="N23" s="43"/>
      <x:c r="O23" s="43"/>
      <x:c r="P23" s="58" t="str">
        <x:f>IF(N23="","","Estantería "&amp;N23&amp;IF(O23="",""," - Balda "&amp;N23&amp;O23))</x:f>
      </x:c>
      <x:c r="Q23" s="37"/>
      <x:c r="R23" s="37"/>
      <x:c r="S23" s="49"/>
      <x:c r="T23" s="37"/>
      <x:c r="U23" s="37"/>
      <x:c r="V23" s="37"/>
      <x:c r="W23" s="34"/>
      <x:c r="X23" s="52"/>
      <x:c r="Y23" s="61" t="str">
        <x:f>IF(A23="","",IF(COUNTIF($A$6:$A$605,A23)&gt;1,"DUPLICADO","OK"))</x:f>
      </x:c>
      <x:c r="Z23" s="61" t="str">
        <x:f>IF(A23="","",IF(C23="","FALTA TÍTULO",IF(E23="","FALTA ÁREA",IF(W23&lt;&gt;"Sí","PENDIENTE","LISTO"))))</x:f>
      </x:c>
    </x:row>
    <x:row r="24">
      <x:c r="A24" s="40"/>
      <x:c r="B24" s="40"/>
      <x:c r="C24" s="37"/>
      <x:c r="D24" s="37"/>
      <x:c r="E24" s="37"/>
      <x:c r="F24" s="43"/>
      <x:c r="G24" s="43"/>
      <x:c r="H24" s="43"/>
      <x:c r="I24" s="55" t="str">
        <x:f>IF(OR(F24="",G24="",H24=""),"",F24&amp;" "&amp;UPPER(G24)&amp;"."&amp;LOWER(H24))</x:f>
      </x:c>
      <x:c r="J24" s="37"/>
      <x:c r="K24" s="37"/>
      <x:c r="L24" s="46"/>
      <x:c r="M24" s="43"/>
      <x:c r="N24" s="43"/>
      <x:c r="O24" s="43"/>
      <x:c r="P24" s="58" t="str">
        <x:f>IF(N24="","","Estantería "&amp;N24&amp;IF(O24="",""," - Balda "&amp;N24&amp;O24))</x:f>
      </x:c>
      <x:c r="Q24" s="37"/>
      <x:c r="R24" s="37"/>
      <x:c r="S24" s="49"/>
      <x:c r="T24" s="37"/>
      <x:c r="U24" s="37"/>
      <x:c r="V24" s="37"/>
      <x:c r="W24" s="34"/>
      <x:c r="X24" s="52"/>
      <x:c r="Y24" s="61" t="str">
        <x:f>IF(A24="","",IF(COUNTIF($A$6:$A$605,A24)&gt;1,"DUPLICADO","OK"))</x:f>
      </x:c>
      <x:c r="Z24" s="61" t="str">
        <x:f>IF(A24="","",IF(C24="","FALTA TÍTULO",IF(E24="","FALTA ÁREA",IF(W24&lt;&gt;"Sí","PENDIENTE","LISTO"))))</x:f>
      </x:c>
    </x:row>
    <x:row r="25">
      <x:c r="A25" s="40"/>
      <x:c r="B25" s="40"/>
      <x:c r="C25" s="37"/>
      <x:c r="D25" s="37"/>
      <x:c r="E25" s="37"/>
      <x:c r="F25" s="43"/>
      <x:c r="G25" s="43"/>
      <x:c r="H25" s="43"/>
      <x:c r="I25" s="55" t="str">
        <x:f>IF(OR(F25="",G25="",H25=""),"",F25&amp;" "&amp;UPPER(G25)&amp;"."&amp;LOWER(H25))</x:f>
      </x:c>
      <x:c r="J25" s="37"/>
      <x:c r="K25" s="37"/>
      <x:c r="L25" s="46"/>
      <x:c r="M25" s="43"/>
      <x:c r="N25" s="43"/>
      <x:c r="O25" s="43"/>
      <x:c r="P25" s="58" t="str">
        <x:f>IF(N25="","","Estantería "&amp;N25&amp;IF(O25="",""," - Balda "&amp;N25&amp;O25))</x:f>
      </x:c>
      <x:c r="Q25" s="37"/>
      <x:c r="R25" s="37"/>
      <x:c r="S25" s="49"/>
      <x:c r="T25" s="37"/>
      <x:c r="U25" s="37"/>
      <x:c r="V25" s="37"/>
      <x:c r="W25" s="34"/>
      <x:c r="X25" s="52"/>
      <x:c r="Y25" s="61" t="str">
        <x:f>IF(A25="","",IF(COUNTIF($A$6:$A$605,A25)&gt;1,"DUPLICADO","OK"))</x:f>
      </x:c>
      <x:c r="Z25" s="61" t="str">
        <x:f>IF(A25="","",IF(C25="","FALTA TÍTULO",IF(E25="","FALTA ÁREA",IF(W25&lt;&gt;"Sí","PENDIENTE","LISTO"))))</x:f>
      </x:c>
    </x:row>
    <x:row r="26">
      <x:c r="A26" s="40"/>
      <x:c r="B26" s="40"/>
      <x:c r="C26" s="37"/>
      <x:c r="D26" s="37"/>
      <x:c r="E26" s="37"/>
      <x:c r="F26" s="43"/>
      <x:c r="G26" s="43"/>
      <x:c r="H26" s="43"/>
      <x:c r="I26" s="55" t="str">
        <x:f>IF(OR(F26="",G26="",H26=""),"",F26&amp;" "&amp;UPPER(G26)&amp;"."&amp;LOWER(H26))</x:f>
      </x:c>
      <x:c r="J26" s="37"/>
      <x:c r="K26" s="37"/>
      <x:c r="L26" s="46"/>
      <x:c r="M26" s="43"/>
      <x:c r="N26" s="43"/>
      <x:c r="O26" s="43"/>
      <x:c r="P26" s="58" t="str">
        <x:f>IF(N26="","","Estantería "&amp;N26&amp;IF(O26="",""," - Balda "&amp;N26&amp;O26))</x:f>
      </x:c>
      <x:c r="Q26" s="37"/>
      <x:c r="R26" s="37"/>
      <x:c r="S26" s="49"/>
      <x:c r="T26" s="37"/>
      <x:c r="U26" s="37"/>
      <x:c r="V26" s="37"/>
      <x:c r="W26" s="34"/>
      <x:c r="X26" s="52"/>
      <x:c r="Y26" s="61" t="str">
        <x:f>IF(A26="","",IF(COUNTIF($A$6:$A$605,A26)&gt;1,"DUPLICADO","OK"))</x:f>
      </x:c>
      <x:c r="Z26" s="61" t="str">
        <x:f>IF(A26="","",IF(C26="","FALTA TÍTULO",IF(E26="","FALTA ÁREA",IF(W26&lt;&gt;"Sí","PENDIENTE","LISTO"))))</x:f>
      </x:c>
    </x:row>
    <x:row r="27">
      <x:c r="A27" s="40"/>
      <x:c r="B27" s="40"/>
      <x:c r="C27" s="37"/>
      <x:c r="D27" s="37"/>
      <x:c r="E27" s="37"/>
      <x:c r="F27" s="43"/>
      <x:c r="G27" s="43"/>
      <x:c r="H27" s="43"/>
      <x:c r="I27" s="55" t="str">
        <x:f>IF(OR(F27="",G27="",H27=""),"",F27&amp;" "&amp;UPPER(G27)&amp;"."&amp;LOWER(H27))</x:f>
      </x:c>
      <x:c r="J27" s="37"/>
      <x:c r="K27" s="37"/>
      <x:c r="L27" s="46"/>
      <x:c r="M27" s="43"/>
      <x:c r="N27" s="43"/>
      <x:c r="O27" s="43"/>
      <x:c r="P27" s="58" t="str">
        <x:f>IF(N27="","","Estantería "&amp;N27&amp;IF(O27="",""," - Balda "&amp;N27&amp;O27))</x:f>
      </x:c>
      <x:c r="Q27" s="37"/>
      <x:c r="R27" s="37"/>
      <x:c r="S27" s="49"/>
      <x:c r="T27" s="37"/>
      <x:c r="U27" s="37"/>
      <x:c r="V27" s="37"/>
      <x:c r="W27" s="34"/>
      <x:c r="X27" s="52"/>
      <x:c r="Y27" s="61" t="str">
        <x:f>IF(A27="","",IF(COUNTIF($A$6:$A$605,A27)&gt;1,"DUPLICADO","OK"))</x:f>
      </x:c>
      <x:c r="Z27" s="61" t="str">
        <x:f>IF(A27="","",IF(C27="","FALTA TÍTULO",IF(E27="","FALTA ÁREA",IF(W27&lt;&gt;"Sí","PENDIENTE","LISTO"))))</x:f>
      </x:c>
    </x:row>
    <x:row r="28">
      <x:c r="A28" s="40"/>
      <x:c r="B28" s="40"/>
      <x:c r="C28" s="37"/>
      <x:c r="D28" s="37"/>
      <x:c r="E28" s="37"/>
      <x:c r="F28" s="43"/>
      <x:c r="G28" s="43"/>
      <x:c r="H28" s="43"/>
      <x:c r="I28" s="55" t="str">
        <x:f>IF(OR(F28="",G28="",H28=""),"",F28&amp;" "&amp;UPPER(G28)&amp;"."&amp;LOWER(H28))</x:f>
      </x:c>
      <x:c r="J28" s="37"/>
      <x:c r="K28" s="37"/>
      <x:c r="L28" s="46"/>
      <x:c r="M28" s="43"/>
      <x:c r="N28" s="43"/>
      <x:c r="O28" s="43"/>
      <x:c r="P28" s="58" t="str">
        <x:f>IF(N28="","","Estantería "&amp;N28&amp;IF(O28="",""," - Balda "&amp;N28&amp;O28))</x:f>
      </x:c>
      <x:c r="Q28" s="37"/>
      <x:c r="R28" s="37"/>
      <x:c r="S28" s="49"/>
      <x:c r="T28" s="37"/>
      <x:c r="U28" s="37"/>
      <x:c r="V28" s="37"/>
      <x:c r="W28" s="34"/>
      <x:c r="X28" s="52"/>
      <x:c r="Y28" s="61" t="str">
        <x:f>IF(A28="","",IF(COUNTIF($A$6:$A$605,A28)&gt;1,"DUPLICADO","OK"))</x:f>
      </x:c>
      <x:c r="Z28" s="61" t="str">
        <x:f>IF(A28="","",IF(C28="","FALTA TÍTULO",IF(E28="","FALTA ÁREA",IF(W28&lt;&gt;"Sí","PENDIENTE","LISTO"))))</x:f>
      </x:c>
    </x:row>
    <x:row r="29">
      <x:c r="A29" s="40"/>
      <x:c r="B29" s="40"/>
      <x:c r="C29" s="37"/>
      <x:c r="D29" s="37"/>
      <x:c r="E29" s="37"/>
      <x:c r="F29" s="43"/>
      <x:c r="G29" s="43"/>
      <x:c r="H29" s="43"/>
      <x:c r="I29" s="55" t="str">
        <x:f>IF(OR(F29="",G29="",H29=""),"",F29&amp;" "&amp;UPPER(G29)&amp;"."&amp;LOWER(H29))</x:f>
      </x:c>
      <x:c r="J29" s="37"/>
      <x:c r="K29" s="37"/>
      <x:c r="L29" s="46"/>
      <x:c r="M29" s="43"/>
      <x:c r="N29" s="43"/>
      <x:c r="O29" s="43"/>
      <x:c r="P29" s="58" t="str">
        <x:f>IF(N29="","","Estantería "&amp;N29&amp;IF(O29="",""," - Balda "&amp;N29&amp;O29))</x:f>
      </x:c>
      <x:c r="Q29" s="37"/>
      <x:c r="R29" s="37"/>
      <x:c r="S29" s="49"/>
      <x:c r="T29" s="37"/>
      <x:c r="U29" s="37"/>
      <x:c r="V29" s="37"/>
      <x:c r="W29" s="34"/>
      <x:c r="X29" s="52"/>
      <x:c r="Y29" s="61" t="str">
        <x:f>IF(A29="","",IF(COUNTIF($A$6:$A$605,A29)&gt;1,"DUPLICADO","OK"))</x:f>
      </x:c>
      <x:c r="Z29" s="61" t="str">
        <x:f>IF(A29="","",IF(C29="","FALTA TÍTULO",IF(E29="","FALTA ÁREA",IF(W29&lt;&gt;"Sí","PENDIENTE","LISTO"))))</x:f>
      </x:c>
    </x:row>
    <x:row r="30">
      <x:c r="A30" s="40"/>
      <x:c r="B30" s="40"/>
      <x:c r="C30" s="37"/>
      <x:c r="D30" s="37"/>
      <x:c r="E30" s="37"/>
      <x:c r="F30" s="43"/>
      <x:c r="G30" s="43"/>
      <x:c r="H30" s="43"/>
      <x:c r="I30" s="55" t="str">
        <x:f>IF(OR(F30="",G30="",H30=""),"",F30&amp;" "&amp;UPPER(G30)&amp;"."&amp;LOWER(H30))</x:f>
      </x:c>
      <x:c r="J30" s="37"/>
      <x:c r="K30" s="37"/>
      <x:c r="L30" s="46"/>
      <x:c r="M30" s="43"/>
      <x:c r="N30" s="43"/>
      <x:c r="O30" s="43"/>
      <x:c r="P30" s="58" t="str">
        <x:f>IF(N30="","","Estantería "&amp;N30&amp;IF(O30="",""," - Balda "&amp;N30&amp;O30))</x:f>
      </x:c>
      <x:c r="Q30" s="37"/>
      <x:c r="R30" s="37"/>
      <x:c r="S30" s="49"/>
      <x:c r="T30" s="37"/>
      <x:c r="U30" s="37"/>
      <x:c r="V30" s="37"/>
      <x:c r="W30" s="34"/>
      <x:c r="X30" s="52"/>
      <x:c r="Y30" s="61" t="str">
        <x:f>IF(A30="","",IF(COUNTIF($A$6:$A$605,A30)&gt;1,"DUPLICADO","OK"))</x:f>
      </x:c>
      <x:c r="Z30" s="61" t="str">
        <x:f>IF(A30="","",IF(C30="","FALTA TÍTULO",IF(E30="","FALTA ÁREA",IF(W30&lt;&gt;"Sí","PENDIENTE","LISTO"))))</x:f>
      </x:c>
    </x:row>
    <x:row r="31">
      <x:c r="A31" s="40"/>
      <x:c r="B31" s="40"/>
      <x:c r="C31" s="37"/>
      <x:c r="D31" s="37"/>
      <x:c r="E31" s="37"/>
      <x:c r="F31" s="43"/>
      <x:c r="G31" s="43"/>
      <x:c r="H31" s="43"/>
      <x:c r="I31" s="55" t="str">
        <x:f>IF(OR(F31="",G31="",H31=""),"",F31&amp;" "&amp;UPPER(G31)&amp;"."&amp;LOWER(H31))</x:f>
      </x:c>
      <x:c r="J31" s="37"/>
      <x:c r="K31" s="37"/>
      <x:c r="L31" s="46"/>
      <x:c r="M31" s="43"/>
      <x:c r="N31" s="43"/>
      <x:c r="O31" s="43"/>
      <x:c r="P31" s="58" t="str">
        <x:f>IF(N31="","","Estantería "&amp;N31&amp;IF(O31="",""," - Balda "&amp;N31&amp;O31))</x:f>
      </x:c>
      <x:c r="Q31" s="37"/>
      <x:c r="R31" s="37"/>
      <x:c r="S31" s="49"/>
      <x:c r="T31" s="37"/>
      <x:c r="U31" s="37"/>
      <x:c r="V31" s="37"/>
      <x:c r="W31" s="34"/>
      <x:c r="X31" s="52"/>
      <x:c r="Y31" s="61" t="str">
        <x:f>IF(A31="","",IF(COUNTIF($A$6:$A$605,A31)&gt;1,"DUPLICADO","OK"))</x:f>
      </x:c>
      <x:c r="Z31" s="61" t="str">
        <x:f>IF(A31="","",IF(C31="","FALTA TÍTULO",IF(E31="","FALTA ÁREA",IF(W31&lt;&gt;"Sí","PENDIENTE","LISTO"))))</x:f>
      </x:c>
    </x:row>
    <x:row r="32">
      <x:c r="A32" s="40"/>
      <x:c r="B32" s="40"/>
      <x:c r="C32" s="37"/>
      <x:c r="D32" s="37"/>
      <x:c r="E32" s="37"/>
      <x:c r="F32" s="43"/>
      <x:c r="G32" s="43"/>
      <x:c r="H32" s="43"/>
      <x:c r="I32" s="55" t="str">
        <x:f>IF(OR(F32="",G32="",H32=""),"",F32&amp;" "&amp;UPPER(G32)&amp;"."&amp;LOWER(H32))</x:f>
      </x:c>
      <x:c r="J32" s="37"/>
      <x:c r="K32" s="37"/>
      <x:c r="L32" s="46"/>
      <x:c r="M32" s="43"/>
      <x:c r="N32" s="43"/>
      <x:c r="O32" s="43"/>
      <x:c r="P32" s="58" t="str">
        <x:f>IF(N32="","","Estantería "&amp;N32&amp;IF(O32="",""," - Balda "&amp;N32&amp;O32))</x:f>
      </x:c>
      <x:c r="Q32" s="37"/>
      <x:c r="R32" s="37"/>
      <x:c r="S32" s="49"/>
      <x:c r="T32" s="37"/>
      <x:c r="U32" s="37"/>
      <x:c r="V32" s="37"/>
      <x:c r="W32" s="34"/>
      <x:c r="X32" s="52"/>
      <x:c r="Y32" s="61" t="str">
        <x:f>IF(A32="","",IF(COUNTIF($A$6:$A$605,A32)&gt;1,"DUPLICADO","OK"))</x:f>
      </x:c>
      <x:c r="Z32" s="61" t="str">
        <x:f>IF(A32="","",IF(C32="","FALTA TÍTULO",IF(E32="","FALTA ÁREA",IF(W32&lt;&gt;"Sí","PENDIENTE","LISTO"))))</x:f>
      </x:c>
    </x:row>
    <x:row r="33">
      <x:c r="A33" s="40"/>
      <x:c r="B33" s="40"/>
      <x:c r="C33" s="37"/>
      <x:c r="D33" s="37"/>
      <x:c r="E33" s="37"/>
      <x:c r="F33" s="43"/>
      <x:c r="G33" s="43"/>
      <x:c r="H33" s="43"/>
      <x:c r="I33" s="55" t="str">
        <x:f>IF(OR(F33="",G33="",H33=""),"",F33&amp;" "&amp;UPPER(G33)&amp;"."&amp;LOWER(H33))</x:f>
      </x:c>
      <x:c r="J33" s="37"/>
      <x:c r="K33" s="37"/>
      <x:c r="L33" s="46"/>
      <x:c r="M33" s="43"/>
      <x:c r="N33" s="43"/>
      <x:c r="O33" s="43"/>
      <x:c r="P33" s="58" t="str">
        <x:f>IF(N33="","","Estantería "&amp;N33&amp;IF(O33="",""," - Balda "&amp;N33&amp;O33))</x:f>
      </x:c>
      <x:c r="Q33" s="37"/>
      <x:c r="R33" s="37"/>
      <x:c r="S33" s="49"/>
      <x:c r="T33" s="37"/>
      <x:c r="U33" s="37"/>
      <x:c r="V33" s="37"/>
      <x:c r="W33" s="34"/>
      <x:c r="X33" s="52"/>
      <x:c r="Y33" s="61" t="str">
        <x:f>IF(A33="","",IF(COUNTIF($A$6:$A$605,A33)&gt;1,"DUPLICADO","OK"))</x:f>
      </x:c>
      <x:c r="Z33" s="61" t="str">
        <x:f>IF(A33="","",IF(C33="","FALTA TÍTULO",IF(E33="","FALTA ÁREA",IF(W33&lt;&gt;"Sí","PENDIENTE","LISTO"))))</x:f>
      </x:c>
    </x:row>
    <x:row r="34">
      <x:c r="A34" s="40"/>
      <x:c r="B34" s="40"/>
      <x:c r="C34" s="37"/>
      <x:c r="D34" s="37"/>
      <x:c r="E34" s="37"/>
      <x:c r="F34" s="43"/>
      <x:c r="G34" s="43"/>
      <x:c r="H34" s="43"/>
      <x:c r="I34" s="55" t="str">
        <x:f>IF(OR(F34="",G34="",H34=""),"",F34&amp;" "&amp;UPPER(G34)&amp;"."&amp;LOWER(H34))</x:f>
      </x:c>
      <x:c r="J34" s="37"/>
      <x:c r="K34" s="37"/>
      <x:c r="L34" s="46"/>
      <x:c r="M34" s="43"/>
      <x:c r="N34" s="43"/>
      <x:c r="O34" s="43"/>
      <x:c r="P34" s="58" t="str">
        <x:f>IF(N34="","","Estantería "&amp;N34&amp;IF(O34="",""," - Balda "&amp;N34&amp;O34))</x:f>
      </x:c>
      <x:c r="Q34" s="37"/>
      <x:c r="R34" s="37"/>
      <x:c r="S34" s="49"/>
      <x:c r="T34" s="37"/>
      <x:c r="U34" s="37"/>
      <x:c r="V34" s="37"/>
      <x:c r="W34" s="34"/>
      <x:c r="X34" s="52"/>
      <x:c r="Y34" s="61" t="str">
        <x:f>IF(A34="","",IF(COUNTIF($A$6:$A$605,A34)&gt;1,"DUPLICADO","OK"))</x:f>
      </x:c>
      <x:c r="Z34" s="61" t="str">
        <x:f>IF(A34="","",IF(C34="","FALTA TÍTULO",IF(E34="","FALTA ÁREA",IF(W34&lt;&gt;"Sí","PENDIENTE","LISTO"))))</x:f>
      </x:c>
    </x:row>
    <x:row r="35">
      <x:c r="A35" s="40"/>
      <x:c r="B35" s="40"/>
      <x:c r="C35" s="37"/>
      <x:c r="D35" s="37"/>
      <x:c r="E35" s="37"/>
      <x:c r="F35" s="43"/>
      <x:c r="G35" s="43"/>
      <x:c r="H35" s="43"/>
      <x:c r="I35" s="55" t="str">
        <x:f>IF(OR(F35="",G35="",H35=""),"",F35&amp;" "&amp;UPPER(G35)&amp;"."&amp;LOWER(H35))</x:f>
      </x:c>
      <x:c r="J35" s="37"/>
      <x:c r="K35" s="37"/>
      <x:c r="L35" s="46"/>
      <x:c r="M35" s="43"/>
      <x:c r="N35" s="43"/>
      <x:c r="O35" s="43"/>
      <x:c r="P35" s="58" t="str">
        <x:f>IF(N35="","","Estantería "&amp;N35&amp;IF(O35="",""," - Balda "&amp;N35&amp;O35))</x:f>
      </x:c>
      <x:c r="Q35" s="37"/>
      <x:c r="R35" s="37"/>
      <x:c r="S35" s="49"/>
      <x:c r="T35" s="37"/>
      <x:c r="U35" s="37"/>
      <x:c r="V35" s="37"/>
      <x:c r="W35" s="34"/>
      <x:c r="X35" s="52"/>
      <x:c r="Y35" s="61" t="str">
        <x:f>IF(A35="","",IF(COUNTIF($A$6:$A$605,A35)&gt;1,"DUPLICADO","OK"))</x:f>
      </x:c>
      <x:c r="Z35" s="61" t="str">
        <x:f>IF(A35="","",IF(C35="","FALTA TÍTULO",IF(E35="","FALTA ÁREA",IF(W35&lt;&gt;"Sí","PENDIENTE","LISTO"))))</x:f>
      </x:c>
    </x:row>
    <x:row r="36">
      <x:c r="A36" s="40"/>
      <x:c r="B36" s="40"/>
      <x:c r="C36" s="37"/>
      <x:c r="D36" s="37"/>
      <x:c r="E36" s="37"/>
      <x:c r="F36" s="43"/>
      <x:c r="G36" s="43"/>
      <x:c r="H36" s="43"/>
      <x:c r="I36" s="55" t="str">
        <x:f>IF(OR(F36="",G36="",H36=""),"",F36&amp;" "&amp;UPPER(G36)&amp;"."&amp;LOWER(H36))</x:f>
      </x:c>
      <x:c r="J36" s="37"/>
      <x:c r="K36" s="37"/>
      <x:c r="L36" s="46"/>
      <x:c r="M36" s="43"/>
      <x:c r="N36" s="43"/>
      <x:c r="O36" s="43"/>
      <x:c r="P36" s="58" t="str">
        <x:f>IF(N36="","","Estantería "&amp;N36&amp;IF(O36="",""," - Balda "&amp;N36&amp;O36))</x:f>
      </x:c>
      <x:c r="Q36" s="37"/>
      <x:c r="R36" s="37"/>
      <x:c r="S36" s="49"/>
      <x:c r="T36" s="37"/>
      <x:c r="U36" s="37"/>
      <x:c r="V36" s="37"/>
      <x:c r="W36" s="34"/>
      <x:c r="X36" s="52"/>
      <x:c r="Y36" s="61" t="str">
        <x:f>IF(A36="","",IF(COUNTIF($A$6:$A$605,A36)&gt;1,"DUPLICADO","OK"))</x:f>
      </x:c>
      <x:c r="Z36" s="61" t="str">
        <x:f>IF(A36="","",IF(C36="","FALTA TÍTULO",IF(E36="","FALTA ÁREA",IF(W36&lt;&gt;"Sí","PENDIENTE","LISTO"))))</x:f>
      </x:c>
    </x:row>
    <x:row r="37">
      <x:c r="A37" s="40"/>
      <x:c r="B37" s="40"/>
      <x:c r="C37" s="37"/>
      <x:c r="D37" s="37"/>
      <x:c r="E37" s="37"/>
      <x:c r="F37" s="43"/>
      <x:c r="G37" s="43"/>
      <x:c r="H37" s="43"/>
      <x:c r="I37" s="55" t="str">
        <x:f>IF(OR(F37="",G37="",H37=""),"",F37&amp;" "&amp;UPPER(G37)&amp;"."&amp;LOWER(H37))</x:f>
      </x:c>
      <x:c r="J37" s="37"/>
      <x:c r="K37" s="37"/>
      <x:c r="L37" s="46"/>
      <x:c r="M37" s="43"/>
      <x:c r="N37" s="43"/>
      <x:c r="O37" s="43"/>
      <x:c r="P37" s="58" t="str">
        <x:f>IF(N37="","","Estantería "&amp;N37&amp;IF(O37="",""," - Balda "&amp;N37&amp;O37))</x:f>
      </x:c>
      <x:c r="Q37" s="37"/>
      <x:c r="R37" s="37"/>
      <x:c r="S37" s="49"/>
      <x:c r="T37" s="37"/>
      <x:c r="U37" s="37"/>
      <x:c r="V37" s="37"/>
      <x:c r="W37" s="34"/>
      <x:c r="X37" s="52"/>
      <x:c r="Y37" s="61" t="str">
        <x:f>IF(A37="","",IF(COUNTIF($A$6:$A$605,A37)&gt;1,"DUPLICADO","OK"))</x:f>
      </x:c>
      <x:c r="Z37" s="61" t="str">
        <x:f>IF(A37="","",IF(C37="","FALTA TÍTULO",IF(E37="","FALTA ÁREA",IF(W37&lt;&gt;"Sí","PENDIENTE","LISTO"))))</x:f>
      </x:c>
    </x:row>
    <x:row r="38">
      <x:c r="A38" s="40"/>
      <x:c r="B38" s="40"/>
      <x:c r="C38" s="37"/>
      <x:c r="D38" s="37"/>
      <x:c r="E38" s="37"/>
      <x:c r="F38" s="43"/>
      <x:c r="G38" s="43"/>
      <x:c r="H38" s="43"/>
      <x:c r="I38" s="55" t="str">
        <x:f>IF(OR(F38="",G38="",H38=""),"",F38&amp;" "&amp;UPPER(G38)&amp;"."&amp;LOWER(H38))</x:f>
      </x:c>
      <x:c r="J38" s="37"/>
      <x:c r="K38" s="37"/>
      <x:c r="L38" s="46"/>
      <x:c r="M38" s="43"/>
      <x:c r="N38" s="43"/>
      <x:c r="O38" s="43"/>
      <x:c r="P38" s="58" t="str">
        <x:f>IF(N38="","","Estantería "&amp;N38&amp;IF(O38="",""," - Balda "&amp;N38&amp;O38))</x:f>
      </x:c>
      <x:c r="Q38" s="37"/>
      <x:c r="R38" s="37"/>
      <x:c r="S38" s="49"/>
      <x:c r="T38" s="37"/>
      <x:c r="U38" s="37"/>
      <x:c r="V38" s="37"/>
      <x:c r="W38" s="34"/>
      <x:c r="X38" s="52"/>
      <x:c r="Y38" s="61" t="str">
        <x:f>IF(A38="","",IF(COUNTIF($A$6:$A$605,A38)&gt;1,"DUPLICADO","OK"))</x:f>
      </x:c>
      <x:c r="Z38" s="61" t="str">
        <x:f>IF(A38="","",IF(C38="","FALTA TÍTULO",IF(E38="","FALTA ÁREA",IF(W38&lt;&gt;"Sí","PENDIENTE","LISTO"))))</x:f>
      </x:c>
    </x:row>
    <x:row r="39">
      <x:c r="A39" s="40"/>
      <x:c r="B39" s="40"/>
      <x:c r="C39" s="37"/>
      <x:c r="D39" s="37"/>
      <x:c r="E39" s="37"/>
      <x:c r="F39" s="43"/>
      <x:c r="G39" s="43"/>
      <x:c r="H39" s="43"/>
      <x:c r="I39" s="55" t="str">
        <x:f>IF(OR(F39="",G39="",H39=""),"",F39&amp;" "&amp;UPPER(G39)&amp;"."&amp;LOWER(H39))</x:f>
      </x:c>
      <x:c r="J39" s="37"/>
      <x:c r="K39" s="37"/>
      <x:c r="L39" s="46"/>
      <x:c r="M39" s="43"/>
      <x:c r="N39" s="43"/>
      <x:c r="O39" s="43"/>
      <x:c r="P39" s="58" t="str">
        <x:f>IF(N39="","","Estantería "&amp;N39&amp;IF(O39="",""," - Balda "&amp;N39&amp;O39))</x:f>
      </x:c>
      <x:c r="Q39" s="37"/>
      <x:c r="R39" s="37"/>
      <x:c r="S39" s="49"/>
      <x:c r="T39" s="37"/>
      <x:c r="U39" s="37"/>
      <x:c r="V39" s="37"/>
      <x:c r="W39" s="34"/>
      <x:c r="X39" s="52"/>
      <x:c r="Y39" s="61" t="str">
        <x:f>IF(A39="","",IF(COUNTIF($A$6:$A$605,A39)&gt;1,"DUPLICADO","OK"))</x:f>
      </x:c>
      <x:c r="Z39" s="61" t="str">
        <x:f>IF(A39="","",IF(C39="","FALTA TÍTULO",IF(E39="","FALTA ÁREA",IF(W39&lt;&gt;"Sí","PENDIENTE","LISTO"))))</x:f>
      </x:c>
    </x:row>
    <x:row r="40">
      <x:c r="A40" s="40"/>
      <x:c r="B40" s="40"/>
      <x:c r="C40" s="37"/>
      <x:c r="D40" s="37"/>
      <x:c r="E40" s="37"/>
      <x:c r="F40" s="43"/>
      <x:c r="G40" s="43"/>
      <x:c r="H40" s="43"/>
      <x:c r="I40" s="55" t="str">
        <x:f>IF(OR(F40="",G40="",H40=""),"",F40&amp;" "&amp;UPPER(G40)&amp;"."&amp;LOWER(H40))</x:f>
      </x:c>
      <x:c r="J40" s="37"/>
      <x:c r="K40" s="37"/>
      <x:c r="L40" s="46"/>
      <x:c r="M40" s="43"/>
      <x:c r="N40" s="43"/>
      <x:c r="O40" s="43"/>
      <x:c r="P40" s="58" t="str">
        <x:f>IF(N40="","","Estantería "&amp;N40&amp;IF(O40="",""," - Balda "&amp;N40&amp;O40))</x:f>
      </x:c>
      <x:c r="Q40" s="37"/>
      <x:c r="R40" s="37"/>
      <x:c r="S40" s="49"/>
      <x:c r="T40" s="37"/>
      <x:c r="U40" s="37"/>
      <x:c r="V40" s="37"/>
      <x:c r="W40" s="34"/>
      <x:c r="X40" s="52"/>
      <x:c r="Y40" s="61" t="str">
        <x:f>IF(A40="","",IF(COUNTIF($A$6:$A$605,A40)&gt;1,"DUPLICADO","OK"))</x:f>
      </x:c>
      <x:c r="Z40" s="61" t="str">
        <x:f>IF(A40="","",IF(C40="","FALTA TÍTULO",IF(E40="","FALTA ÁREA",IF(W40&lt;&gt;"Sí","PENDIENTE","LISTO"))))</x:f>
      </x:c>
    </x:row>
    <x:row r="41">
      <x:c r="A41" s="40"/>
      <x:c r="B41" s="40"/>
      <x:c r="C41" s="37"/>
      <x:c r="D41" s="37"/>
      <x:c r="E41" s="37"/>
      <x:c r="F41" s="43"/>
      <x:c r="G41" s="43"/>
      <x:c r="H41" s="43"/>
      <x:c r="I41" s="55" t="str">
        <x:f>IF(OR(F41="",G41="",H41=""),"",F41&amp;" "&amp;UPPER(G41)&amp;"."&amp;LOWER(H41))</x:f>
      </x:c>
      <x:c r="J41" s="37"/>
      <x:c r="K41" s="37"/>
      <x:c r="L41" s="46"/>
      <x:c r="M41" s="43"/>
      <x:c r="N41" s="43"/>
      <x:c r="O41" s="43"/>
      <x:c r="P41" s="58" t="str">
        <x:f>IF(N41="","","Estantería "&amp;N41&amp;IF(O41="",""," - Balda "&amp;N41&amp;O41))</x:f>
      </x:c>
      <x:c r="Q41" s="37"/>
      <x:c r="R41" s="37"/>
      <x:c r="S41" s="49"/>
      <x:c r="T41" s="37"/>
      <x:c r="U41" s="37"/>
      <x:c r="V41" s="37"/>
      <x:c r="W41" s="34"/>
      <x:c r="X41" s="52"/>
      <x:c r="Y41" s="61" t="str">
        <x:f>IF(A41="","",IF(COUNTIF($A$6:$A$605,A41)&gt;1,"DUPLICADO","OK"))</x:f>
      </x:c>
      <x:c r="Z41" s="61" t="str">
        <x:f>IF(A41="","",IF(C41="","FALTA TÍTULO",IF(E41="","FALTA ÁREA",IF(W41&lt;&gt;"Sí","PENDIENTE","LISTO"))))</x:f>
      </x:c>
    </x:row>
    <x:row r="42">
      <x:c r="A42" s="40"/>
      <x:c r="B42" s="40"/>
      <x:c r="C42" s="37"/>
      <x:c r="D42" s="37"/>
      <x:c r="E42" s="37"/>
      <x:c r="F42" s="43"/>
      <x:c r="G42" s="43"/>
      <x:c r="H42" s="43"/>
      <x:c r="I42" s="55" t="str">
        <x:f>IF(OR(F42="",G42="",H42=""),"",F42&amp;" "&amp;UPPER(G42)&amp;"."&amp;LOWER(H42))</x:f>
      </x:c>
      <x:c r="J42" s="37"/>
      <x:c r="K42" s="37"/>
      <x:c r="L42" s="46"/>
      <x:c r="M42" s="43"/>
      <x:c r="N42" s="43"/>
      <x:c r="O42" s="43"/>
      <x:c r="P42" s="58" t="str">
        <x:f>IF(N42="","","Estantería "&amp;N42&amp;IF(O42="",""," - Balda "&amp;N42&amp;O42))</x:f>
      </x:c>
      <x:c r="Q42" s="37"/>
      <x:c r="R42" s="37"/>
      <x:c r="S42" s="49"/>
      <x:c r="T42" s="37"/>
      <x:c r="U42" s="37"/>
      <x:c r="V42" s="37"/>
      <x:c r="W42" s="34"/>
      <x:c r="X42" s="52"/>
      <x:c r="Y42" s="61" t="str">
        <x:f>IF(A42="","",IF(COUNTIF($A$6:$A$605,A42)&gt;1,"DUPLICADO","OK"))</x:f>
      </x:c>
      <x:c r="Z42" s="61" t="str">
        <x:f>IF(A42="","",IF(C42="","FALTA TÍTULO",IF(E42="","FALTA ÁREA",IF(W42&lt;&gt;"Sí","PENDIENTE","LISTO"))))</x:f>
      </x:c>
    </x:row>
    <x:row r="43">
      <x:c r="A43" s="40"/>
      <x:c r="B43" s="40"/>
      <x:c r="C43" s="37"/>
      <x:c r="D43" s="37"/>
      <x:c r="E43" s="37"/>
      <x:c r="F43" s="43"/>
      <x:c r="G43" s="43"/>
      <x:c r="H43" s="43"/>
      <x:c r="I43" s="55" t="str">
        <x:f>IF(OR(F43="",G43="",H43=""),"",F43&amp;" "&amp;UPPER(G43)&amp;"."&amp;LOWER(H43))</x:f>
      </x:c>
      <x:c r="J43" s="37"/>
      <x:c r="K43" s="37"/>
      <x:c r="L43" s="46"/>
      <x:c r="M43" s="43"/>
      <x:c r="N43" s="43"/>
      <x:c r="O43" s="43"/>
      <x:c r="P43" s="58" t="str">
        <x:f>IF(N43="","","Estantería "&amp;N43&amp;IF(O43="",""," - Balda "&amp;N43&amp;O43))</x:f>
      </x:c>
      <x:c r="Q43" s="37"/>
      <x:c r="R43" s="37"/>
      <x:c r="S43" s="49"/>
      <x:c r="T43" s="37"/>
      <x:c r="U43" s="37"/>
      <x:c r="V43" s="37"/>
      <x:c r="W43" s="34"/>
      <x:c r="X43" s="52"/>
      <x:c r="Y43" s="61" t="str">
        <x:f>IF(A43="","",IF(COUNTIF($A$6:$A$605,A43)&gt;1,"DUPLICADO","OK"))</x:f>
      </x:c>
      <x:c r="Z43" s="61" t="str">
        <x:f>IF(A43="","",IF(C43="","FALTA TÍTULO",IF(E43="","FALTA ÁREA",IF(W43&lt;&gt;"Sí","PENDIENTE","LISTO"))))</x:f>
      </x:c>
    </x:row>
    <x:row r="44">
      <x:c r="A44" s="40"/>
      <x:c r="B44" s="40"/>
      <x:c r="C44" s="37"/>
      <x:c r="D44" s="37"/>
      <x:c r="E44" s="37"/>
      <x:c r="F44" s="43"/>
      <x:c r="G44" s="43"/>
      <x:c r="H44" s="43"/>
      <x:c r="I44" s="55" t="str">
        <x:f>IF(OR(F44="",G44="",H44=""),"",F44&amp;" "&amp;UPPER(G44)&amp;"."&amp;LOWER(H44))</x:f>
      </x:c>
      <x:c r="J44" s="37"/>
      <x:c r="K44" s="37"/>
      <x:c r="L44" s="46"/>
      <x:c r="M44" s="43"/>
      <x:c r="N44" s="43"/>
      <x:c r="O44" s="43"/>
      <x:c r="P44" s="58" t="str">
        <x:f>IF(N44="","","Estantería "&amp;N44&amp;IF(O44="",""," - Balda "&amp;N44&amp;O44))</x:f>
      </x:c>
      <x:c r="Q44" s="37"/>
      <x:c r="R44" s="37"/>
      <x:c r="S44" s="49"/>
      <x:c r="T44" s="37"/>
      <x:c r="U44" s="37"/>
      <x:c r="V44" s="37"/>
      <x:c r="W44" s="34"/>
      <x:c r="X44" s="52"/>
      <x:c r="Y44" s="61" t="str">
        <x:f>IF(A44="","",IF(COUNTIF($A$6:$A$605,A44)&gt;1,"DUPLICADO","OK"))</x:f>
      </x:c>
      <x:c r="Z44" s="61" t="str">
        <x:f>IF(A44="","",IF(C44="","FALTA TÍTULO",IF(E44="","FALTA ÁREA",IF(W44&lt;&gt;"Sí","PENDIENTE","LISTO"))))</x:f>
      </x:c>
    </x:row>
    <x:row r="45">
      <x:c r="A45" s="40"/>
      <x:c r="B45" s="40"/>
      <x:c r="C45" s="37"/>
      <x:c r="D45" s="37"/>
      <x:c r="E45" s="37"/>
      <x:c r="F45" s="43"/>
      <x:c r="G45" s="43"/>
      <x:c r="H45" s="43"/>
      <x:c r="I45" s="55" t="str">
        <x:f>IF(OR(F45="",G45="",H45=""),"",F45&amp;" "&amp;UPPER(G45)&amp;"."&amp;LOWER(H45))</x:f>
      </x:c>
      <x:c r="J45" s="37"/>
      <x:c r="K45" s="37"/>
      <x:c r="L45" s="46"/>
      <x:c r="M45" s="43"/>
      <x:c r="N45" s="43"/>
      <x:c r="O45" s="43"/>
      <x:c r="P45" s="58" t="str">
        <x:f>IF(N45="","","Estantería "&amp;N45&amp;IF(O45="",""," - Balda "&amp;N45&amp;O45))</x:f>
      </x:c>
      <x:c r="Q45" s="37"/>
      <x:c r="R45" s="37"/>
      <x:c r="S45" s="49"/>
      <x:c r="T45" s="37"/>
      <x:c r="U45" s="37"/>
      <x:c r="V45" s="37"/>
      <x:c r="W45" s="34"/>
      <x:c r="X45" s="52"/>
      <x:c r="Y45" s="61" t="str">
        <x:f>IF(A45="","",IF(COUNTIF($A$6:$A$605,A45)&gt;1,"DUPLICADO","OK"))</x:f>
      </x:c>
      <x:c r="Z45" s="61" t="str">
        <x:f>IF(A45="","",IF(C45="","FALTA TÍTULO",IF(E45="","FALTA ÁREA",IF(W45&lt;&gt;"Sí","PENDIENTE","LISTO"))))</x:f>
      </x:c>
    </x:row>
    <x:row r="46">
      <x:c r="A46" s="40"/>
      <x:c r="B46" s="40"/>
      <x:c r="C46" s="37"/>
      <x:c r="D46" s="37"/>
      <x:c r="E46" s="37"/>
      <x:c r="F46" s="43"/>
      <x:c r="G46" s="43"/>
      <x:c r="H46" s="43"/>
      <x:c r="I46" s="55" t="str">
        <x:f>IF(OR(F46="",G46="",H46=""),"",F46&amp;" "&amp;UPPER(G46)&amp;"."&amp;LOWER(H46))</x:f>
      </x:c>
      <x:c r="J46" s="37"/>
      <x:c r="K46" s="37"/>
      <x:c r="L46" s="46"/>
      <x:c r="M46" s="43"/>
      <x:c r="N46" s="43"/>
      <x:c r="O46" s="43"/>
      <x:c r="P46" s="58" t="str">
        <x:f>IF(N46="","","Estantería "&amp;N46&amp;IF(O46="",""," - Balda "&amp;N46&amp;O46))</x:f>
      </x:c>
      <x:c r="Q46" s="37"/>
      <x:c r="R46" s="37"/>
      <x:c r="S46" s="49"/>
      <x:c r="T46" s="37"/>
      <x:c r="U46" s="37"/>
      <x:c r="V46" s="37"/>
      <x:c r="W46" s="34"/>
      <x:c r="X46" s="52"/>
      <x:c r="Y46" s="61" t="str">
        <x:f>IF(A46="","",IF(COUNTIF($A$6:$A$605,A46)&gt;1,"DUPLICADO","OK"))</x:f>
      </x:c>
      <x:c r="Z46" s="61" t="str">
        <x:f>IF(A46="","",IF(C46="","FALTA TÍTULO",IF(E46="","FALTA ÁREA",IF(W46&lt;&gt;"Sí","PENDIENTE","LISTO"))))</x:f>
      </x:c>
    </x:row>
    <x:row r="47">
      <x:c r="A47" s="40"/>
      <x:c r="B47" s="40"/>
      <x:c r="C47" s="37"/>
      <x:c r="D47" s="37"/>
      <x:c r="E47" s="37"/>
      <x:c r="F47" s="43"/>
      <x:c r="G47" s="43"/>
      <x:c r="H47" s="43"/>
      <x:c r="I47" s="55" t="str">
        <x:f>IF(OR(F47="",G47="",H47=""),"",F47&amp;" "&amp;UPPER(G47)&amp;"."&amp;LOWER(H47))</x:f>
      </x:c>
      <x:c r="J47" s="37"/>
      <x:c r="K47" s="37"/>
      <x:c r="L47" s="46"/>
      <x:c r="M47" s="43"/>
      <x:c r="N47" s="43"/>
      <x:c r="O47" s="43"/>
      <x:c r="P47" s="58" t="str">
        <x:f>IF(N47="","","Estantería "&amp;N47&amp;IF(O47="",""," - Balda "&amp;N47&amp;O47))</x:f>
      </x:c>
      <x:c r="Q47" s="37"/>
      <x:c r="R47" s="37"/>
      <x:c r="S47" s="49"/>
      <x:c r="T47" s="37"/>
      <x:c r="U47" s="37"/>
      <x:c r="V47" s="37"/>
      <x:c r="W47" s="34"/>
      <x:c r="X47" s="52"/>
      <x:c r="Y47" s="61" t="str">
        <x:f>IF(A47="","",IF(COUNTIF($A$6:$A$605,A47)&gt;1,"DUPLICADO","OK"))</x:f>
      </x:c>
      <x:c r="Z47" s="61" t="str">
        <x:f>IF(A47="","",IF(C47="","FALTA TÍTULO",IF(E47="","FALTA ÁREA",IF(W47&lt;&gt;"Sí","PENDIENTE","LISTO"))))</x:f>
      </x:c>
    </x:row>
    <x:row r="48">
      <x:c r="A48" s="40"/>
      <x:c r="B48" s="40"/>
      <x:c r="C48" s="37"/>
      <x:c r="D48" s="37"/>
      <x:c r="E48" s="37"/>
      <x:c r="F48" s="43"/>
      <x:c r="G48" s="43"/>
      <x:c r="H48" s="43"/>
      <x:c r="I48" s="55" t="str">
        <x:f>IF(OR(F48="",G48="",H48=""),"",F48&amp;" "&amp;UPPER(G48)&amp;"."&amp;LOWER(H48))</x:f>
      </x:c>
      <x:c r="J48" s="37"/>
      <x:c r="K48" s="37"/>
      <x:c r="L48" s="46"/>
      <x:c r="M48" s="43"/>
      <x:c r="N48" s="43"/>
      <x:c r="O48" s="43"/>
      <x:c r="P48" s="58" t="str">
        <x:f>IF(N48="","","Estantería "&amp;N48&amp;IF(O48="",""," - Balda "&amp;N48&amp;O48))</x:f>
      </x:c>
      <x:c r="Q48" s="37"/>
      <x:c r="R48" s="37"/>
      <x:c r="S48" s="49"/>
      <x:c r="T48" s="37"/>
      <x:c r="U48" s="37"/>
      <x:c r="V48" s="37"/>
      <x:c r="W48" s="34"/>
      <x:c r="X48" s="52"/>
      <x:c r="Y48" s="61" t="str">
        <x:f>IF(A48="","",IF(COUNTIF($A$6:$A$605,A48)&gt;1,"DUPLICADO","OK"))</x:f>
      </x:c>
      <x:c r="Z48" s="61" t="str">
        <x:f>IF(A48="","",IF(C48="","FALTA TÍTULO",IF(E48="","FALTA ÁREA",IF(W48&lt;&gt;"Sí","PENDIENTE","LISTO"))))</x:f>
      </x:c>
    </x:row>
    <x:row r="49">
      <x:c r="A49" s="40"/>
      <x:c r="B49" s="40"/>
      <x:c r="C49" s="37"/>
      <x:c r="D49" s="37"/>
      <x:c r="E49" s="37"/>
      <x:c r="F49" s="43"/>
      <x:c r="G49" s="43"/>
      <x:c r="H49" s="43"/>
      <x:c r="I49" s="55" t="str">
        <x:f>IF(OR(F49="",G49="",H49=""),"",F49&amp;" "&amp;UPPER(G49)&amp;"."&amp;LOWER(H49))</x:f>
      </x:c>
      <x:c r="J49" s="37"/>
      <x:c r="K49" s="37"/>
      <x:c r="L49" s="46"/>
      <x:c r="M49" s="43"/>
      <x:c r="N49" s="43"/>
      <x:c r="O49" s="43"/>
      <x:c r="P49" s="58" t="str">
        <x:f>IF(N49="","","Estantería "&amp;N49&amp;IF(O49="",""," - Balda "&amp;N49&amp;O49))</x:f>
      </x:c>
      <x:c r="Q49" s="37"/>
      <x:c r="R49" s="37"/>
      <x:c r="S49" s="49"/>
      <x:c r="T49" s="37"/>
      <x:c r="U49" s="37"/>
      <x:c r="V49" s="37"/>
      <x:c r="W49" s="34"/>
      <x:c r="X49" s="52"/>
      <x:c r="Y49" s="61" t="str">
        <x:f>IF(A49="","",IF(COUNTIF($A$6:$A$605,A49)&gt;1,"DUPLICADO","OK"))</x:f>
      </x:c>
      <x:c r="Z49" s="61" t="str">
        <x:f>IF(A49="","",IF(C49="","FALTA TÍTULO",IF(E49="","FALTA ÁREA",IF(W49&lt;&gt;"Sí","PENDIENTE","LISTO"))))</x:f>
      </x:c>
    </x:row>
    <x:row r="50">
      <x:c r="A50" s="40"/>
      <x:c r="B50" s="40"/>
      <x:c r="C50" s="37"/>
      <x:c r="D50" s="37"/>
      <x:c r="E50" s="37"/>
      <x:c r="F50" s="43"/>
      <x:c r="G50" s="43"/>
      <x:c r="H50" s="43"/>
      <x:c r="I50" s="55" t="str">
        <x:f>IF(OR(F50="",G50="",H50=""),"",F50&amp;" "&amp;UPPER(G50)&amp;"."&amp;LOWER(H50))</x:f>
      </x:c>
      <x:c r="J50" s="37"/>
      <x:c r="K50" s="37"/>
      <x:c r="L50" s="46"/>
      <x:c r="M50" s="43"/>
      <x:c r="N50" s="43"/>
      <x:c r="O50" s="43"/>
      <x:c r="P50" s="58" t="str">
        <x:f>IF(N50="","","Estantería "&amp;N50&amp;IF(O50="",""," - Balda "&amp;N50&amp;O50))</x:f>
      </x:c>
      <x:c r="Q50" s="37"/>
      <x:c r="R50" s="37"/>
      <x:c r="S50" s="49"/>
      <x:c r="T50" s="37"/>
      <x:c r="U50" s="37"/>
      <x:c r="V50" s="37"/>
      <x:c r="W50" s="34"/>
      <x:c r="X50" s="52"/>
      <x:c r="Y50" s="61" t="str">
        <x:f>IF(A50="","",IF(COUNTIF($A$6:$A$605,A50)&gt;1,"DUPLICADO","OK"))</x:f>
      </x:c>
      <x:c r="Z50" s="61" t="str">
        <x:f>IF(A50="","",IF(C50="","FALTA TÍTULO",IF(E50="","FALTA ÁREA",IF(W50&lt;&gt;"Sí","PENDIENTE","LISTO"))))</x:f>
      </x:c>
    </x:row>
    <x:row r="51">
      <x:c r="A51" s="40"/>
      <x:c r="B51" s="40"/>
      <x:c r="C51" s="37"/>
      <x:c r="D51" s="37"/>
      <x:c r="E51" s="37"/>
      <x:c r="F51" s="43"/>
      <x:c r="G51" s="43"/>
      <x:c r="H51" s="43"/>
      <x:c r="I51" s="55" t="str">
        <x:f>IF(OR(F51="",G51="",H51=""),"",F51&amp;" "&amp;UPPER(G51)&amp;"."&amp;LOWER(H51))</x:f>
      </x:c>
      <x:c r="J51" s="37"/>
      <x:c r="K51" s="37"/>
      <x:c r="L51" s="46"/>
      <x:c r="M51" s="43"/>
      <x:c r="N51" s="43"/>
      <x:c r="O51" s="43"/>
      <x:c r="P51" s="58" t="str">
        <x:f>IF(N51="","","Estantería "&amp;N51&amp;IF(O51="",""," - Balda "&amp;N51&amp;O51))</x:f>
      </x:c>
      <x:c r="Q51" s="37"/>
      <x:c r="R51" s="37"/>
      <x:c r="S51" s="49"/>
      <x:c r="T51" s="37"/>
      <x:c r="U51" s="37"/>
      <x:c r="V51" s="37"/>
      <x:c r="W51" s="34"/>
      <x:c r="X51" s="52"/>
      <x:c r="Y51" s="61" t="str">
        <x:f>IF(A51="","",IF(COUNTIF($A$6:$A$605,A51)&gt;1,"DUPLICADO","OK"))</x:f>
      </x:c>
      <x:c r="Z51" s="61" t="str">
        <x:f>IF(A51="","",IF(C51="","FALTA TÍTULO",IF(E51="","FALTA ÁREA",IF(W51&lt;&gt;"Sí","PENDIENTE","LISTO"))))</x:f>
      </x:c>
    </x:row>
    <x:row r="52">
      <x:c r="A52" s="40"/>
      <x:c r="B52" s="40"/>
      <x:c r="C52" s="37"/>
      <x:c r="D52" s="37"/>
      <x:c r="E52" s="37"/>
      <x:c r="F52" s="43"/>
      <x:c r="G52" s="43"/>
      <x:c r="H52" s="43"/>
      <x:c r="I52" s="55" t="str">
        <x:f>IF(OR(F52="",G52="",H52=""),"",F52&amp;" "&amp;UPPER(G52)&amp;"."&amp;LOWER(H52))</x:f>
      </x:c>
      <x:c r="J52" s="37"/>
      <x:c r="K52" s="37"/>
      <x:c r="L52" s="46"/>
      <x:c r="M52" s="43"/>
      <x:c r="N52" s="43"/>
      <x:c r="O52" s="43"/>
      <x:c r="P52" s="58" t="str">
        <x:f>IF(N52="","","Estantería "&amp;N52&amp;IF(O52="",""," - Balda "&amp;N52&amp;O52))</x:f>
      </x:c>
      <x:c r="Q52" s="37"/>
      <x:c r="R52" s="37"/>
      <x:c r="S52" s="49"/>
      <x:c r="T52" s="37"/>
      <x:c r="U52" s="37"/>
      <x:c r="V52" s="37"/>
      <x:c r="W52" s="34"/>
      <x:c r="X52" s="52"/>
      <x:c r="Y52" s="61" t="str">
        <x:f>IF(A52="","",IF(COUNTIF($A$6:$A$605,A52)&gt;1,"DUPLICADO","OK"))</x:f>
      </x:c>
      <x:c r="Z52" s="61" t="str">
        <x:f>IF(A52="","",IF(C52="","FALTA TÍTULO",IF(E52="","FALTA ÁREA",IF(W52&lt;&gt;"Sí","PENDIENTE","LISTO"))))</x:f>
      </x:c>
    </x:row>
    <x:row r="53">
      <x:c r="A53" s="40"/>
      <x:c r="B53" s="40"/>
      <x:c r="C53" s="37"/>
      <x:c r="D53" s="37"/>
      <x:c r="E53" s="37"/>
      <x:c r="F53" s="43"/>
      <x:c r="G53" s="43"/>
      <x:c r="H53" s="43"/>
      <x:c r="I53" s="55" t="str">
        <x:f>IF(OR(F53="",G53="",H53=""),"",F53&amp;" "&amp;UPPER(G53)&amp;"."&amp;LOWER(H53))</x:f>
      </x:c>
      <x:c r="J53" s="37"/>
      <x:c r="K53" s="37"/>
      <x:c r="L53" s="46"/>
      <x:c r="M53" s="43"/>
      <x:c r="N53" s="43"/>
      <x:c r="O53" s="43"/>
      <x:c r="P53" s="58" t="str">
        <x:f>IF(N53="","","Estantería "&amp;N53&amp;IF(O53="",""," - Balda "&amp;N53&amp;O53))</x:f>
      </x:c>
      <x:c r="Q53" s="37"/>
      <x:c r="R53" s="37"/>
      <x:c r="S53" s="49"/>
      <x:c r="T53" s="37"/>
      <x:c r="U53" s="37"/>
      <x:c r="V53" s="37"/>
      <x:c r="W53" s="34"/>
      <x:c r="X53" s="52"/>
      <x:c r="Y53" s="61" t="str">
        <x:f>IF(A53="","",IF(COUNTIF($A$6:$A$605,A53)&gt;1,"DUPLICADO","OK"))</x:f>
      </x:c>
      <x:c r="Z53" s="61" t="str">
        <x:f>IF(A53="","",IF(C53="","FALTA TÍTULO",IF(E53="","FALTA ÁREA",IF(W53&lt;&gt;"Sí","PENDIENTE","LISTO"))))</x:f>
      </x:c>
    </x:row>
    <x:row r="54">
      <x:c r="A54" s="40"/>
      <x:c r="B54" s="40"/>
      <x:c r="C54" s="37"/>
      <x:c r="D54" s="37"/>
      <x:c r="E54" s="37"/>
      <x:c r="F54" s="43"/>
      <x:c r="G54" s="43"/>
      <x:c r="H54" s="43"/>
      <x:c r="I54" s="55" t="str">
        <x:f>IF(OR(F54="",G54="",H54=""),"",F54&amp;" "&amp;UPPER(G54)&amp;"."&amp;LOWER(H54))</x:f>
      </x:c>
      <x:c r="J54" s="37"/>
      <x:c r="K54" s="37"/>
      <x:c r="L54" s="46"/>
      <x:c r="M54" s="43"/>
      <x:c r="N54" s="43"/>
      <x:c r="O54" s="43"/>
      <x:c r="P54" s="58" t="str">
        <x:f>IF(N54="","","Estantería "&amp;N54&amp;IF(O54="",""," - Balda "&amp;N54&amp;O54))</x:f>
      </x:c>
      <x:c r="Q54" s="37"/>
      <x:c r="R54" s="37"/>
      <x:c r="S54" s="49"/>
      <x:c r="T54" s="37"/>
      <x:c r="U54" s="37"/>
      <x:c r="V54" s="37"/>
      <x:c r="W54" s="34"/>
      <x:c r="X54" s="52"/>
      <x:c r="Y54" s="61" t="str">
        <x:f>IF(A54="","",IF(COUNTIF($A$6:$A$605,A54)&gt;1,"DUPLICADO","OK"))</x:f>
      </x:c>
      <x:c r="Z54" s="61" t="str">
        <x:f>IF(A54="","",IF(C54="","FALTA TÍTULO",IF(E54="","FALTA ÁREA",IF(W54&lt;&gt;"Sí","PENDIENTE","LISTO"))))</x:f>
      </x:c>
    </x:row>
    <x:row r="55">
      <x:c r="A55" s="40"/>
      <x:c r="B55" s="40"/>
      <x:c r="C55" s="37"/>
      <x:c r="D55" s="37"/>
      <x:c r="E55" s="37"/>
      <x:c r="F55" s="43"/>
      <x:c r="G55" s="43"/>
      <x:c r="H55" s="43"/>
      <x:c r="I55" s="55" t="str">
        <x:f>IF(OR(F55="",G55="",H55=""),"",F55&amp;" "&amp;UPPER(G55)&amp;"."&amp;LOWER(H55))</x:f>
      </x:c>
      <x:c r="J55" s="37"/>
      <x:c r="K55" s="37"/>
      <x:c r="L55" s="46"/>
      <x:c r="M55" s="43"/>
      <x:c r="N55" s="43"/>
      <x:c r="O55" s="43"/>
      <x:c r="P55" s="58" t="str">
        <x:f>IF(N55="","","Estantería "&amp;N55&amp;IF(O55="",""," - Balda "&amp;N55&amp;O55))</x:f>
      </x:c>
      <x:c r="Q55" s="37"/>
      <x:c r="R55" s="37"/>
      <x:c r="S55" s="49"/>
      <x:c r="T55" s="37"/>
      <x:c r="U55" s="37"/>
      <x:c r="V55" s="37"/>
      <x:c r="W55" s="34"/>
      <x:c r="X55" s="52"/>
      <x:c r="Y55" s="61" t="str">
        <x:f>IF(A55="","",IF(COUNTIF($A$6:$A$605,A55)&gt;1,"DUPLICADO","OK"))</x:f>
      </x:c>
      <x:c r="Z55" s="61" t="str">
        <x:f>IF(A55="","",IF(C55="","FALTA TÍTULO",IF(E55="","FALTA ÁREA",IF(W55&lt;&gt;"Sí","PENDIENTE","LISTO"))))</x:f>
      </x:c>
    </x:row>
    <x:row r="56">
      <x:c r="A56" s="40"/>
      <x:c r="B56" s="40"/>
      <x:c r="C56" s="37"/>
      <x:c r="D56" s="37"/>
      <x:c r="E56" s="37"/>
      <x:c r="F56" s="43"/>
      <x:c r="G56" s="43"/>
      <x:c r="H56" s="43"/>
      <x:c r="I56" s="55" t="str">
        <x:f>IF(OR(F56="",G56="",H56=""),"",F56&amp;" "&amp;UPPER(G56)&amp;"."&amp;LOWER(H56))</x:f>
      </x:c>
      <x:c r="J56" s="37"/>
      <x:c r="K56" s="37"/>
      <x:c r="L56" s="46"/>
      <x:c r="M56" s="43"/>
      <x:c r="N56" s="43"/>
      <x:c r="O56" s="43"/>
      <x:c r="P56" s="58" t="str">
        <x:f>IF(N56="","","Estantería "&amp;N56&amp;IF(O56="",""," - Balda "&amp;N56&amp;O56))</x:f>
      </x:c>
      <x:c r="Q56" s="37"/>
      <x:c r="R56" s="37"/>
      <x:c r="S56" s="49"/>
      <x:c r="T56" s="37"/>
      <x:c r="U56" s="37"/>
      <x:c r="V56" s="37"/>
      <x:c r="W56" s="34"/>
      <x:c r="X56" s="52"/>
      <x:c r="Y56" s="61" t="str">
        <x:f>IF(A56="","",IF(COUNTIF($A$6:$A$605,A56)&gt;1,"DUPLICADO","OK"))</x:f>
      </x:c>
      <x:c r="Z56" s="61" t="str">
        <x:f>IF(A56="","",IF(C56="","FALTA TÍTULO",IF(E56="","FALTA ÁREA",IF(W56&lt;&gt;"Sí","PENDIENTE","LISTO"))))</x:f>
      </x:c>
    </x:row>
    <x:row r="57">
      <x:c r="A57" s="40"/>
      <x:c r="B57" s="40"/>
      <x:c r="C57" s="37"/>
      <x:c r="D57" s="37"/>
      <x:c r="E57" s="37"/>
      <x:c r="F57" s="43"/>
      <x:c r="G57" s="43"/>
      <x:c r="H57" s="43"/>
      <x:c r="I57" s="55" t="str">
        <x:f>IF(OR(F57="",G57="",H57=""),"",F57&amp;" "&amp;UPPER(G57)&amp;"."&amp;LOWER(H57))</x:f>
      </x:c>
      <x:c r="J57" s="37"/>
      <x:c r="K57" s="37"/>
      <x:c r="L57" s="46"/>
      <x:c r="M57" s="43"/>
      <x:c r="N57" s="43"/>
      <x:c r="O57" s="43"/>
      <x:c r="P57" s="58" t="str">
        <x:f>IF(N57="","","Estantería "&amp;N57&amp;IF(O57="",""," - Balda "&amp;N57&amp;O57))</x:f>
      </x:c>
      <x:c r="Q57" s="37"/>
      <x:c r="R57" s="37"/>
      <x:c r="S57" s="49"/>
      <x:c r="T57" s="37"/>
      <x:c r="U57" s="37"/>
      <x:c r="V57" s="37"/>
      <x:c r="W57" s="34"/>
      <x:c r="X57" s="52"/>
      <x:c r="Y57" s="61" t="str">
        <x:f>IF(A57="","",IF(COUNTIF($A$6:$A$605,A57)&gt;1,"DUPLICADO","OK"))</x:f>
      </x:c>
      <x:c r="Z57" s="61" t="str">
        <x:f>IF(A57="","",IF(C57="","FALTA TÍTULO",IF(E57="","FALTA ÁREA",IF(W57&lt;&gt;"Sí","PENDIENTE","LISTO"))))</x:f>
      </x:c>
    </x:row>
    <x:row r="58">
      <x:c r="A58" s="40"/>
      <x:c r="B58" s="40"/>
      <x:c r="C58" s="37"/>
      <x:c r="D58" s="37"/>
      <x:c r="E58" s="37"/>
      <x:c r="F58" s="43"/>
      <x:c r="G58" s="43"/>
      <x:c r="H58" s="43"/>
      <x:c r="I58" s="55" t="str">
        <x:f>IF(OR(F58="",G58="",H58=""),"",F58&amp;" "&amp;UPPER(G58)&amp;"."&amp;LOWER(H58))</x:f>
      </x:c>
      <x:c r="J58" s="37"/>
      <x:c r="K58" s="37"/>
      <x:c r="L58" s="46"/>
      <x:c r="M58" s="43"/>
      <x:c r="N58" s="43"/>
      <x:c r="O58" s="43"/>
      <x:c r="P58" s="58" t="str">
        <x:f>IF(N58="","","Estantería "&amp;N58&amp;IF(O58="",""," - Balda "&amp;N58&amp;O58))</x:f>
      </x:c>
      <x:c r="Q58" s="37"/>
      <x:c r="R58" s="37"/>
      <x:c r="S58" s="49"/>
      <x:c r="T58" s="37"/>
      <x:c r="U58" s="37"/>
      <x:c r="V58" s="37"/>
      <x:c r="W58" s="34"/>
      <x:c r="X58" s="52"/>
      <x:c r="Y58" s="61" t="str">
        <x:f>IF(A58="","",IF(COUNTIF($A$6:$A$605,A58)&gt;1,"DUPLICADO","OK"))</x:f>
      </x:c>
      <x:c r="Z58" s="61" t="str">
        <x:f>IF(A58="","",IF(C58="","FALTA TÍTULO",IF(E58="","FALTA ÁREA",IF(W58&lt;&gt;"Sí","PENDIENTE","LISTO"))))</x:f>
      </x:c>
    </x:row>
    <x:row r="59">
      <x:c r="A59" s="40"/>
      <x:c r="B59" s="40"/>
      <x:c r="C59" s="37"/>
      <x:c r="D59" s="37"/>
      <x:c r="E59" s="37"/>
      <x:c r="F59" s="43"/>
      <x:c r="G59" s="43"/>
      <x:c r="H59" s="43"/>
      <x:c r="I59" s="55" t="str">
        <x:f>IF(OR(F59="",G59="",H59=""),"",F59&amp;" "&amp;UPPER(G59)&amp;"."&amp;LOWER(H59))</x:f>
      </x:c>
      <x:c r="J59" s="37"/>
      <x:c r="K59" s="37"/>
      <x:c r="L59" s="46"/>
      <x:c r="M59" s="43"/>
      <x:c r="N59" s="43"/>
      <x:c r="O59" s="43"/>
      <x:c r="P59" s="58" t="str">
        <x:f>IF(N59="","","Estantería "&amp;N59&amp;IF(O59="",""," - Balda "&amp;N59&amp;O59))</x:f>
      </x:c>
      <x:c r="Q59" s="37"/>
      <x:c r="R59" s="37"/>
      <x:c r="S59" s="49"/>
      <x:c r="T59" s="37"/>
      <x:c r="U59" s="37"/>
      <x:c r="V59" s="37"/>
      <x:c r="W59" s="34"/>
      <x:c r="X59" s="52"/>
      <x:c r="Y59" s="61" t="str">
        <x:f>IF(A59="","",IF(COUNTIF($A$6:$A$605,A59)&gt;1,"DUPLICADO","OK"))</x:f>
      </x:c>
      <x:c r="Z59" s="61" t="str">
        <x:f>IF(A59="","",IF(C59="","FALTA TÍTULO",IF(E59="","FALTA ÁREA",IF(W59&lt;&gt;"Sí","PENDIENTE","LISTO"))))</x:f>
      </x:c>
    </x:row>
    <x:row r="60">
      <x:c r="A60" s="40"/>
      <x:c r="B60" s="40"/>
      <x:c r="C60" s="37"/>
      <x:c r="D60" s="37"/>
      <x:c r="E60" s="37"/>
      <x:c r="F60" s="43"/>
      <x:c r="G60" s="43"/>
      <x:c r="H60" s="43"/>
      <x:c r="I60" s="55" t="str">
        <x:f>IF(OR(F60="",G60="",H60=""),"",F60&amp;" "&amp;UPPER(G60)&amp;"."&amp;LOWER(H60))</x:f>
      </x:c>
      <x:c r="J60" s="37"/>
      <x:c r="K60" s="37"/>
      <x:c r="L60" s="46"/>
      <x:c r="M60" s="43"/>
      <x:c r="N60" s="43"/>
      <x:c r="O60" s="43"/>
      <x:c r="P60" s="58" t="str">
        <x:f>IF(N60="","","Estantería "&amp;N60&amp;IF(O60="",""," - Balda "&amp;N60&amp;O60))</x:f>
      </x:c>
      <x:c r="Q60" s="37"/>
      <x:c r="R60" s="37"/>
      <x:c r="S60" s="49"/>
      <x:c r="T60" s="37"/>
      <x:c r="U60" s="37"/>
      <x:c r="V60" s="37"/>
      <x:c r="W60" s="34"/>
      <x:c r="X60" s="52"/>
      <x:c r="Y60" s="61" t="str">
        <x:f>IF(A60="","",IF(COUNTIF($A$6:$A$605,A60)&gt;1,"DUPLICADO","OK"))</x:f>
      </x:c>
      <x:c r="Z60" s="61" t="str">
        <x:f>IF(A60="","",IF(C60="","FALTA TÍTULO",IF(E60="","FALTA ÁREA",IF(W60&lt;&gt;"Sí","PENDIENTE","LISTO"))))</x:f>
      </x:c>
    </x:row>
    <x:row r="61">
      <x:c r="A61" s="40"/>
      <x:c r="B61" s="40"/>
      <x:c r="C61" s="37"/>
      <x:c r="D61" s="37"/>
      <x:c r="E61" s="37"/>
      <x:c r="F61" s="43"/>
      <x:c r="G61" s="43"/>
      <x:c r="H61" s="43"/>
      <x:c r="I61" s="55" t="str">
        <x:f>IF(OR(F61="",G61="",H61=""),"",F61&amp;" "&amp;UPPER(G61)&amp;"."&amp;LOWER(H61))</x:f>
      </x:c>
      <x:c r="J61" s="37"/>
      <x:c r="K61" s="37"/>
      <x:c r="L61" s="46"/>
      <x:c r="M61" s="43"/>
      <x:c r="N61" s="43"/>
      <x:c r="O61" s="43"/>
      <x:c r="P61" s="58" t="str">
        <x:f>IF(N61="","","Estantería "&amp;N61&amp;IF(O61="",""," - Balda "&amp;N61&amp;O61))</x:f>
      </x:c>
      <x:c r="Q61" s="37"/>
      <x:c r="R61" s="37"/>
      <x:c r="S61" s="49"/>
      <x:c r="T61" s="37"/>
      <x:c r="U61" s="37"/>
      <x:c r="V61" s="37"/>
      <x:c r="W61" s="34"/>
      <x:c r="X61" s="52"/>
      <x:c r="Y61" s="61" t="str">
        <x:f>IF(A61="","",IF(COUNTIF($A$6:$A$605,A61)&gt;1,"DUPLICADO","OK"))</x:f>
      </x:c>
      <x:c r="Z61" s="61" t="str">
        <x:f>IF(A61="","",IF(C61="","FALTA TÍTULO",IF(E61="","FALTA ÁREA",IF(W61&lt;&gt;"Sí","PENDIENTE","LISTO"))))</x:f>
      </x:c>
    </x:row>
    <x:row r="62">
      <x:c r="A62" s="40"/>
      <x:c r="B62" s="40"/>
      <x:c r="C62" s="37"/>
      <x:c r="D62" s="37"/>
      <x:c r="E62" s="37"/>
      <x:c r="F62" s="43"/>
      <x:c r="G62" s="43"/>
      <x:c r="H62" s="43"/>
      <x:c r="I62" s="55" t="str">
        <x:f>IF(OR(F62="",G62="",H62=""),"",F62&amp;" "&amp;UPPER(G62)&amp;"."&amp;LOWER(H62))</x:f>
      </x:c>
      <x:c r="J62" s="37"/>
      <x:c r="K62" s="37"/>
      <x:c r="L62" s="46"/>
      <x:c r="M62" s="43"/>
      <x:c r="N62" s="43"/>
      <x:c r="O62" s="43"/>
      <x:c r="P62" s="58" t="str">
        <x:f>IF(N62="","","Estantería "&amp;N62&amp;IF(O62="",""," - Balda "&amp;N62&amp;O62))</x:f>
      </x:c>
      <x:c r="Q62" s="37"/>
      <x:c r="R62" s="37"/>
      <x:c r="S62" s="49"/>
      <x:c r="T62" s="37"/>
      <x:c r="U62" s="37"/>
      <x:c r="V62" s="37"/>
      <x:c r="W62" s="34"/>
      <x:c r="X62" s="52"/>
      <x:c r="Y62" s="61" t="str">
        <x:f>IF(A62="","",IF(COUNTIF($A$6:$A$605,A62)&gt;1,"DUPLICADO","OK"))</x:f>
      </x:c>
      <x:c r="Z62" s="61" t="str">
        <x:f>IF(A62="","",IF(C62="","FALTA TÍTULO",IF(E62="","FALTA ÁREA",IF(W62&lt;&gt;"Sí","PENDIENTE","LISTO"))))</x:f>
      </x:c>
    </x:row>
    <x:row r="63">
      <x:c r="A63" s="40"/>
      <x:c r="B63" s="40"/>
      <x:c r="C63" s="37"/>
      <x:c r="D63" s="37"/>
      <x:c r="E63" s="37"/>
      <x:c r="F63" s="43"/>
      <x:c r="G63" s="43"/>
      <x:c r="H63" s="43"/>
      <x:c r="I63" s="55" t="str">
        <x:f>IF(OR(F63="",G63="",H63=""),"",F63&amp;" "&amp;UPPER(G63)&amp;"."&amp;LOWER(H63))</x:f>
      </x:c>
      <x:c r="J63" s="37"/>
      <x:c r="K63" s="37"/>
      <x:c r="L63" s="46"/>
      <x:c r="M63" s="43"/>
      <x:c r="N63" s="43"/>
      <x:c r="O63" s="43"/>
      <x:c r="P63" s="58" t="str">
        <x:f>IF(N63="","","Estantería "&amp;N63&amp;IF(O63="",""," - Balda "&amp;N63&amp;O63))</x:f>
      </x:c>
      <x:c r="Q63" s="37"/>
      <x:c r="R63" s="37"/>
      <x:c r="S63" s="49"/>
      <x:c r="T63" s="37"/>
      <x:c r="U63" s="37"/>
      <x:c r="V63" s="37"/>
      <x:c r="W63" s="34"/>
      <x:c r="X63" s="52"/>
      <x:c r="Y63" s="61" t="str">
        <x:f>IF(A63="","",IF(COUNTIF($A$6:$A$605,A63)&gt;1,"DUPLICADO","OK"))</x:f>
      </x:c>
      <x:c r="Z63" s="61" t="str">
        <x:f>IF(A63="","",IF(C63="","FALTA TÍTULO",IF(E63="","FALTA ÁREA",IF(W63&lt;&gt;"Sí","PENDIENTE","LISTO"))))</x:f>
      </x:c>
    </x:row>
    <x:row r="64">
      <x:c r="A64" s="40"/>
      <x:c r="B64" s="40"/>
      <x:c r="C64" s="37"/>
      <x:c r="D64" s="37"/>
      <x:c r="E64" s="37"/>
      <x:c r="F64" s="43"/>
      <x:c r="G64" s="43"/>
      <x:c r="H64" s="43"/>
      <x:c r="I64" s="55" t="str">
        <x:f>IF(OR(F64="",G64="",H64=""),"",F64&amp;" "&amp;UPPER(G64)&amp;"."&amp;LOWER(H64))</x:f>
      </x:c>
      <x:c r="J64" s="37"/>
      <x:c r="K64" s="37"/>
      <x:c r="L64" s="46"/>
      <x:c r="M64" s="43"/>
      <x:c r="N64" s="43"/>
      <x:c r="O64" s="43"/>
      <x:c r="P64" s="58" t="str">
        <x:f>IF(N64="","","Estantería "&amp;N64&amp;IF(O64="",""," - Balda "&amp;N64&amp;O64))</x:f>
      </x:c>
      <x:c r="Q64" s="37"/>
      <x:c r="R64" s="37"/>
      <x:c r="S64" s="49"/>
      <x:c r="T64" s="37"/>
      <x:c r="U64" s="37"/>
      <x:c r="V64" s="37"/>
      <x:c r="W64" s="34"/>
      <x:c r="X64" s="52"/>
      <x:c r="Y64" s="61" t="str">
        <x:f>IF(A64="","",IF(COUNTIF($A$6:$A$605,A64)&gt;1,"DUPLICADO","OK"))</x:f>
      </x:c>
      <x:c r="Z64" s="61" t="str">
        <x:f>IF(A64="","",IF(C64="","FALTA TÍTULO",IF(E64="","FALTA ÁREA",IF(W64&lt;&gt;"Sí","PENDIENTE","LISTO"))))</x:f>
      </x:c>
    </x:row>
    <x:row r="65">
      <x:c r="A65" s="40"/>
      <x:c r="B65" s="40"/>
      <x:c r="C65" s="37"/>
      <x:c r="D65" s="37"/>
      <x:c r="E65" s="37"/>
      <x:c r="F65" s="43"/>
      <x:c r="G65" s="43"/>
      <x:c r="H65" s="43"/>
      <x:c r="I65" s="55" t="str">
        <x:f>IF(OR(F65="",G65="",H65=""),"",F65&amp;" "&amp;UPPER(G65)&amp;"."&amp;LOWER(H65))</x:f>
      </x:c>
      <x:c r="J65" s="37"/>
      <x:c r="K65" s="37"/>
      <x:c r="L65" s="46"/>
      <x:c r="M65" s="43"/>
      <x:c r="N65" s="43"/>
      <x:c r="O65" s="43"/>
      <x:c r="P65" s="58" t="str">
        <x:f>IF(N65="","","Estantería "&amp;N65&amp;IF(O65="",""," - Balda "&amp;N65&amp;O65))</x:f>
      </x:c>
      <x:c r="Q65" s="37"/>
      <x:c r="R65" s="37"/>
      <x:c r="S65" s="49"/>
      <x:c r="T65" s="37"/>
      <x:c r="U65" s="37"/>
      <x:c r="V65" s="37"/>
      <x:c r="W65" s="34"/>
      <x:c r="X65" s="52"/>
      <x:c r="Y65" s="61" t="str">
        <x:f>IF(A65="","",IF(COUNTIF($A$6:$A$605,A65)&gt;1,"DUPLICADO","OK"))</x:f>
      </x:c>
      <x:c r="Z65" s="61" t="str">
        <x:f>IF(A65="","",IF(C65="","FALTA TÍTULO",IF(E65="","FALTA ÁREA",IF(W65&lt;&gt;"Sí","PENDIENTE","LISTO"))))</x:f>
      </x:c>
    </x:row>
    <x:row r="66">
      <x:c r="A66" s="40"/>
      <x:c r="B66" s="40"/>
      <x:c r="C66" s="37"/>
      <x:c r="D66" s="37"/>
      <x:c r="E66" s="37"/>
      <x:c r="F66" s="43"/>
      <x:c r="G66" s="43"/>
      <x:c r="H66" s="43"/>
      <x:c r="I66" s="55" t="str">
        <x:f>IF(OR(F66="",G66="",H66=""),"",F66&amp;" "&amp;UPPER(G66)&amp;"."&amp;LOWER(H66))</x:f>
      </x:c>
      <x:c r="J66" s="37"/>
      <x:c r="K66" s="37"/>
      <x:c r="L66" s="46"/>
      <x:c r="M66" s="43"/>
      <x:c r="N66" s="43"/>
      <x:c r="O66" s="43"/>
      <x:c r="P66" s="58" t="str">
        <x:f>IF(N66="","","Estantería "&amp;N66&amp;IF(O66="",""," - Balda "&amp;N66&amp;O66))</x:f>
      </x:c>
      <x:c r="Q66" s="37"/>
      <x:c r="R66" s="37"/>
      <x:c r="S66" s="49"/>
      <x:c r="T66" s="37"/>
      <x:c r="U66" s="37"/>
      <x:c r="V66" s="37"/>
      <x:c r="W66" s="34"/>
      <x:c r="X66" s="52"/>
      <x:c r="Y66" s="61" t="str">
        <x:f>IF(A66="","",IF(COUNTIF($A$6:$A$605,A66)&gt;1,"DUPLICADO","OK"))</x:f>
      </x:c>
      <x:c r="Z66" s="61" t="str">
        <x:f>IF(A66="","",IF(C66="","FALTA TÍTULO",IF(E66="","FALTA ÁREA",IF(W66&lt;&gt;"Sí","PENDIENTE","LISTO"))))</x:f>
      </x:c>
    </x:row>
    <x:row r="67">
      <x:c r="A67" s="40"/>
      <x:c r="B67" s="40"/>
      <x:c r="C67" s="37"/>
      <x:c r="D67" s="37"/>
      <x:c r="E67" s="37"/>
      <x:c r="F67" s="43"/>
      <x:c r="G67" s="43"/>
      <x:c r="H67" s="43"/>
      <x:c r="I67" s="55" t="str">
        <x:f>IF(OR(F67="",G67="",H67=""),"",F67&amp;" "&amp;UPPER(G67)&amp;"."&amp;LOWER(H67))</x:f>
      </x:c>
      <x:c r="J67" s="37"/>
      <x:c r="K67" s="37"/>
      <x:c r="L67" s="46"/>
      <x:c r="M67" s="43"/>
      <x:c r="N67" s="43"/>
      <x:c r="O67" s="43"/>
      <x:c r="P67" s="58" t="str">
        <x:f>IF(N67="","","Estantería "&amp;N67&amp;IF(O67="",""," - Balda "&amp;N67&amp;O67))</x:f>
      </x:c>
      <x:c r="Q67" s="37"/>
      <x:c r="R67" s="37"/>
      <x:c r="S67" s="49"/>
      <x:c r="T67" s="37"/>
      <x:c r="U67" s="37"/>
      <x:c r="V67" s="37"/>
      <x:c r="W67" s="34"/>
      <x:c r="X67" s="52"/>
      <x:c r="Y67" s="61" t="str">
        <x:f>IF(A67="","",IF(COUNTIF($A$6:$A$605,A67)&gt;1,"DUPLICADO","OK"))</x:f>
      </x:c>
      <x:c r="Z67" s="61" t="str">
        <x:f>IF(A67="","",IF(C67="","FALTA TÍTULO",IF(E67="","FALTA ÁREA",IF(W67&lt;&gt;"Sí","PENDIENTE","LISTO"))))</x:f>
      </x:c>
    </x:row>
    <x:row r="68">
      <x:c r="A68" s="40"/>
      <x:c r="B68" s="40"/>
      <x:c r="C68" s="37"/>
      <x:c r="D68" s="37"/>
      <x:c r="E68" s="37"/>
      <x:c r="F68" s="43"/>
      <x:c r="G68" s="43"/>
      <x:c r="H68" s="43"/>
      <x:c r="I68" s="55" t="str">
        <x:f>IF(OR(F68="",G68="",H68=""),"",F68&amp;" "&amp;UPPER(G68)&amp;"."&amp;LOWER(H68))</x:f>
      </x:c>
      <x:c r="J68" s="37"/>
      <x:c r="K68" s="37"/>
      <x:c r="L68" s="46"/>
      <x:c r="M68" s="43"/>
      <x:c r="N68" s="43"/>
      <x:c r="O68" s="43"/>
      <x:c r="P68" s="58" t="str">
        <x:f>IF(N68="","","Estantería "&amp;N68&amp;IF(O68="",""," - Balda "&amp;N68&amp;O68))</x:f>
      </x:c>
      <x:c r="Q68" s="37"/>
      <x:c r="R68" s="37"/>
      <x:c r="S68" s="49"/>
      <x:c r="T68" s="37"/>
      <x:c r="U68" s="37"/>
      <x:c r="V68" s="37"/>
      <x:c r="W68" s="34"/>
      <x:c r="X68" s="52"/>
      <x:c r="Y68" s="61" t="str">
        <x:f>IF(A68="","",IF(COUNTIF($A$6:$A$605,A68)&gt;1,"DUPLICADO","OK"))</x:f>
      </x:c>
      <x:c r="Z68" s="61" t="str">
        <x:f>IF(A68="","",IF(C68="","FALTA TÍTULO",IF(E68="","FALTA ÁREA",IF(W68&lt;&gt;"Sí","PENDIENTE","LISTO"))))</x:f>
      </x:c>
    </x:row>
    <x:row r="69">
      <x:c r="A69" s="40"/>
      <x:c r="B69" s="40"/>
      <x:c r="C69" s="37"/>
      <x:c r="D69" s="37"/>
      <x:c r="E69" s="37"/>
      <x:c r="F69" s="43"/>
      <x:c r="G69" s="43"/>
      <x:c r="H69" s="43"/>
      <x:c r="I69" s="55" t="str">
        <x:f>IF(OR(F69="",G69="",H69=""),"",F69&amp;" "&amp;UPPER(G69)&amp;"."&amp;LOWER(H69))</x:f>
      </x:c>
      <x:c r="J69" s="37"/>
      <x:c r="K69" s="37"/>
      <x:c r="L69" s="46"/>
      <x:c r="M69" s="43"/>
      <x:c r="N69" s="43"/>
      <x:c r="O69" s="43"/>
      <x:c r="P69" s="58" t="str">
        <x:f>IF(N69="","","Estantería "&amp;N69&amp;IF(O69="",""," - Balda "&amp;N69&amp;O69))</x:f>
      </x:c>
      <x:c r="Q69" s="37"/>
      <x:c r="R69" s="37"/>
      <x:c r="S69" s="49"/>
      <x:c r="T69" s="37"/>
      <x:c r="U69" s="37"/>
      <x:c r="V69" s="37"/>
      <x:c r="W69" s="34"/>
      <x:c r="X69" s="52"/>
      <x:c r="Y69" s="61" t="str">
        <x:f>IF(A69="","",IF(COUNTIF($A$6:$A$605,A69)&gt;1,"DUPLICADO","OK"))</x:f>
      </x:c>
      <x:c r="Z69" s="61" t="str">
        <x:f>IF(A69="","",IF(C69="","FALTA TÍTULO",IF(E69="","FALTA ÁREA",IF(W69&lt;&gt;"Sí","PENDIENTE","LISTO"))))</x:f>
      </x:c>
    </x:row>
    <x:row r="70">
      <x:c r="A70" s="40"/>
      <x:c r="B70" s="40"/>
      <x:c r="C70" s="37"/>
      <x:c r="D70" s="37"/>
      <x:c r="E70" s="37"/>
      <x:c r="F70" s="43"/>
      <x:c r="G70" s="43"/>
      <x:c r="H70" s="43"/>
      <x:c r="I70" s="55" t="str">
        <x:f>IF(OR(F70="",G70="",H70=""),"",F70&amp;" "&amp;UPPER(G70)&amp;"."&amp;LOWER(H70))</x:f>
      </x:c>
      <x:c r="J70" s="37"/>
      <x:c r="K70" s="37"/>
      <x:c r="L70" s="46"/>
      <x:c r="M70" s="43"/>
      <x:c r="N70" s="43"/>
      <x:c r="O70" s="43"/>
      <x:c r="P70" s="58" t="str">
        <x:f>IF(N70="","","Estantería "&amp;N70&amp;IF(O70="",""," - Balda "&amp;N70&amp;O70))</x:f>
      </x:c>
      <x:c r="Q70" s="37"/>
      <x:c r="R70" s="37"/>
      <x:c r="S70" s="49"/>
      <x:c r="T70" s="37"/>
      <x:c r="U70" s="37"/>
      <x:c r="V70" s="37"/>
      <x:c r="W70" s="34"/>
      <x:c r="X70" s="52"/>
      <x:c r="Y70" s="61" t="str">
        <x:f>IF(A70="","",IF(COUNTIF($A$6:$A$605,A70)&gt;1,"DUPLICADO","OK"))</x:f>
      </x:c>
      <x:c r="Z70" s="61" t="str">
        <x:f>IF(A70="","",IF(C70="","FALTA TÍTULO",IF(E70="","FALTA ÁREA",IF(W70&lt;&gt;"Sí","PENDIENTE","LISTO"))))</x:f>
      </x:c>
    </x:row>
    <x:row r="71">
      <x:c r="A71" s="40"/>
      <x:c r="B71" s="40"/>
      <x:c r="C71" s="37"/>
      <x:c r="D71" s="37"/>
      <x:c r="E71" s="37"/>
      <x:c r="F71" s="43"/>
      <x:c r="G71" s="43"/>
      <x:c r="H71" s="43"/>
      <x:c r="I71" s="55" t="str">
        <x:f>IF(OR(F71="",G71="",H71=""),"",F71&amp;" "&amp;UPPER(G71)&amp;"."&amp;LOWER(H71))</x:f>
      </x:c>
      <x:c r="J71" s="37"/>
      <x:c r="K71" s="37"/>
      <x:c r="L71" s="46"/>
      <x:c r="M71" s="43"/>
      <x:c r="N71" s="43"/>
      <x:c r="O71" s="43"/>
      <x:c r="P71" s="58" t="str">
        <x:f>IF(N71="","","Estantería "&amp;N71&amp;IF(O71="",""," - Balda "&amp;N71&amp;O71))</x:f>
      </x:c>
      <x:c r="Q71" s="37"/>
      <x:c r="R71" s="37"/>
      <x:c r="S71" s="49"/>
      <x:c r="T71" s="37"/>
      <x:c r="U71" s="37"/>
      <x:c r="V71" s="37"/>
      <x:c r="W71" s="34"/>
      <x:c r="X71" s="52"/>
      <x:c r="Y71" s="61" t="str">
        <x:f>IF(A71="","",IF(COUNTIF($A$6:$A$605,A71)&gt;1,"DUPLICADO","OK"))</x:f>
      </x:c>
      <x:c r="Z71" s="61" t="str">
        <x:f>IF(A71="","",IF(C71="","FALTA TÍTULO",IF(E71="","FALTA ÁREA",IF(W71&lt;&gt;"Sí","PENDIENTE","LISTO"))))</x:f>
      </x:c>
    </x:row>
    <x:row r="72">
      <x:c r="A72" s="40"/>
      <x:c r="B72" s="40"/>
      <x:c r="C72" s="37"/>
      <x:c r="D72" s="37"/>
      <x:c r="E72" s="37"/>
      <x:c r="F72" s="43"/>
      <x:c r="G72" s="43"/>
      <x:c r="H72" s="43"/>
      <x:c r="I72" s="55" t="str">
        <x:f>IF(OR(F72="",G72="",H72=""),"",F72&amp;" "&amp;UPPER(G72)&amp;"."&amp;LOWER(H72))</x:f>
      </x:c>
      <x:c r="J72" s="37"/>
      <x:c r="K72" s="37"/>
      <x:c r="L72" s="46"/>
      <x:c r="M72" s="43"/>
      <x:c r="N72" s="43"/>
      <x:c r="O72" s="43"/>
      <x:c r="P72" s="58" t="str">
        <x:f>IF(N72="","","Estantería "&amp;N72&amp;IF(O72="",""," - Balda "&amp;N72&amp;O72))</x:f>
      </x:c>
      <x:c r="Q72" s="37"/>
      <x:c r="R72" s="37"/>
      <x:c r="S72" s="49"/>
      <x:c r="T72" s="37"/>
      <x:c r="U72" s="37"/>
      <x:c r="V72" s="37"/>
      <x:c r="W72" s="34"/>
      <x:c r="X72" s="52"/>
      <x:c r="Y72" s="61" t="str">
        <x:f>IF(A72="","",IF(COUNTIF($A$6:$A$605,A72)&gt;1,"DUPLICADO","OK"))</x:f>
      </x:c>
      <x:c r="Z72" s="61" t="str">
        <x:f>IF(A72="","",IF(C72="","FALTA TÍTULO",IF(E72="","FALTA ÁREA",IF(W72&lt;&gt;"Sí","PENDIENTE","LISTO"))))</x:f>
      </x:c>
    </x:row>
    <x:row r="73">
      <x:c r="A73" s="40"/>
      <x:c r="B73" s="40"/>
      <x:c r="C73" s="37"/>
      <x:c r="D73" s="37"/>
      <x:c r="E73" s="37"/>
      <x:c r="F73" s="43"/>
      <x:c r="G73" s="43"/>
      <x:c r="H73" s="43"/>
      <x:c r="I73" s="55" t="str">
        <x:f>IF(OR(F73="",G73="",H73=""),"",F73&amp;" "&amp;UPPER(G73)&amp;"."&amp;LOWER(H73))</x:f>
      </x:c>
      <x:c r="J73" s="37"/>
      <x:c r="K73" s="37"/>
      <x:c r="L73" s="46"/>
      <x:c r="M73" s="43"/>
      <x:c r="N73" s="43"/>
      <x:c r="O73" s="43"/>
      <x:c r="P73" s="58" t="str">
        <x:f>IF(N73="","","Estantería "&amp;N73&amp;IF(O73="",""," - Balda "&amp;N73&amp;O73))</x:f>
      </x:c>
      <x:c r="Q73" s="37"/>
      <x:c r="R73" s="37"/>
      <x:c r="S73" s="49"/>
      <x:c r="T73" s="37"/>
      <x:c r="U73" s="37"/>
      <x:c r="V73" s="37"/>
      <x:c r="W73" s="34"/>
      <x:c r="X73" s="52"/>
      <x:c r="Y73" s="61" t="str">
        <x:f>IF(A73="","",IF(COUNTIF($A$6:$A$605,A73)&gt;1,"DUPLICADO","OK"))</x:f>
      </x:c>
      <x:c r="Z73" s="61" t="str">
        <x:f>IF(A73="","",IF(C73="","FALTA TÍTULO",IF(E73="","FALTA ÁREA",IF(W73&lt;&gt;"Sí","PENDIENTE","LISTO"))))</x:f>
      </x:c>
    </x:row>
    <x:row r="74">
      <x:c r="A74" s="40"/>
      <x:c r="B74" s="40"/>
      <x:c r="C74" s="37"/>
      <x:c r="D74" s="37"/>
      <x:c r="E74" s="37"/>
      <x:c r="F74" s="43"/>
      <x:c r="G74" s="43"/>
      <x:c r="H74" s="43"/>
      <x:c r="I74" s="55" t="str">
        <x:f>IF(OR(F74="",G74="",H74=""),"",F74&amp;" "&amp;UPPER(G74)&amp;"."&amp;LOWER(H74))</x:f>
      </x:c>
      <x:c r="J74" s="37"/>
      <x:c r="K74" s="37"/>
      <x:c r="L74" s="46"/>
      <x:c r="M74" s="43"/>
      <x:c r="N74" s="43"/>
      <x:c r="O74" s="43"/>
      <x:c r="P74" s="58" t="str">
        <x:f>IF(N74="","","Estantería "&amp;N74&amp;IF(O74="",""," - Balda "&amp;N74&amp;O74))</x:f>
      </x:c>
      <x:c r="Q74" s="37"/>
      <x:c r="R74" s="37"/>
      <x:c r="S74" s="49"/>
      <x:c r="T74" s="37"/>
      <x:c r="U74" s="37"/>
      <x:c r="V74" s="37"/>
      <x:c r="W74" s="34"/>
      <x:c r="X74" s="52"/>
      <x:c r="Y74" s="61" t="str">
        <x:f>IF(A74="","",IF(COUNTIF($A$6:$A$605,A74)&gt;1,"DUPLICADO","OK"))</x:f>
      </x:c>
      <x:c r="Z74" s="61" t="str">
        <x:f>IF(A74="","",IF(C74="","FALTA TÍTULO",IF(E74="","FALTA ÁREA",IF(W74&lt;&gt;"Sí","PENDIENTE","LISTO"))))</x:f>
      </x:c>
    </x:row>
    <x:row r="75">
      <x:c r="A75" s="40"/>
      <x:c r="B75" s="40"/>
      <x:c r="C75" s="37"/>
      <x:c r="D75" s="37"/>
      <x:c r="E75" s="37"/>
      <x:c r="F75" s="43"/>
      <x:c r="G75" s="43"/>
      <x:c r="H75" s="43"/>
      <x:c r="I75" s="55" t="str">
        <x:f>IF(OR(F75="",G75="",H75=""),"",F75&amp;" "&amp;UPPER(G75)&amp;"."&amp;LOWER(H75))</x:f>
      </x:c>
      <x:c r="J75" s="37"/>
      <x:c r="K75" s="37"/>
      <x:c r="L75" s="46"/>
      <x:c r="M75" s="43"/>
      <x:c r="N75" s="43"/>
      <x:c r="O75" s="43"/>
      <x:c r="P75" s="58" t="str">
        <x:f>IF(N75="","","Estantería "&amp;N75&amp;IF(O75="",""," - Balda "&amp;N75&amp;O75))</x:f>
      </x:c>
      <x:c r="Q75" s="37"/>
      <x:c r="R75" s="37"/>
      <x:c r="S75" s="49"/>
      <x:c r="T75" s="37"/>
      <x:c r="U75" s="37"/>
      <x:c r="V75" s="37"/>
      <x:c r="W75" s="34"/>
      <x:c r="X75" s="52"/>
      <x:c r="Y75" s="61" t="str">
        <x:f>IF(A75="","",IF(COUNTIF($A$6:$A$605,A75)&gt;1,"DUPLICADO","OK"))</x:f>
      </x:c>
      <x:c r="Z75" s="61" t="str">
        <x:f>IF(A75="","",IF(C75="","FALTA TÍTULO",IF(E75="","FALTA ÁREA",IF(W75&lt;&gt;"Sí","PENDIENTE","LISTO"))))</x:f>
      </x:c>
    </x:row>
    <x:row r="76">
      <x:c r="A76" s="40"/>
      <x:c r="B76" s="40"/>
      <x:c r="C76" s="37"/>
      <x:c r="D76" s="37"/>
      <x:c r="E76" s="37"/>
      <x:c r="F76" s="43"/>
      <x:c r="G76" s="43"/>
      <x:c r="H76" s="43"/>
      <x:c r="I76" s="55" t="str">
        <x:f>IF(OR(F76="",G76="",H76=""),"",F76&amp;" "&amp;UPPER(G76)&amp;"."&amp;LOWER(H76))</x:f>
      </x:c>
      <x:c r="J76" s="37"/>
      <x:c r="K76" s="37"/>
      <x:c r="L76" s="46"/>
      <x:c r="M76" s="43"/>
      <x:c r="N76" s="43"/>
      <x:c r="O76" s="43"/>
      <x:c r="P76" s="58" t="str">
        <x:f>IF(N76="","","Estantería "&amp;N76&amp;IF(O76="",""," - Balda "&amp;N76&amp;O76))</x:f>
      </x:c>
      <x:c r="Q76" s="37"/>
      <x:c r="R76" s="37"/>
      <x:c r="S76" s="49"/>
      <x:c r="T76" s="37"/>
      <x:c r="U76" s="37"/>
      <x:c r="V76" s="37"/>
      <x:c r="W76" s="34"/>
      <x:c r="X76" s="52"/>
      <x:c r="Y76" s="61" t="str">
        <x:f>IF(A76="","",IF(COUNTIF($A$6:$A$605,A76)&gt;1,"DUPLICADO","OK"))</x:f>
      </x:c>
      <x:c r="Z76" s="61" t="str">
        <x:f>IF(A76="","",IF(C76="","FALTA TÍTULO",IF(E76="","FALTA ÁREA",IF(W76&lt;&gt;"Sí","PENDIENTE","LISTO"))))</x:f>
      </x:c>
    </x:row>
    <x:row r="77">
      <x:c r="A77" s="40"/>
      <x:c r="B77" s="40"/>
      <x:c r="C77" s="37"/>
      <x:c r="D77" s="37"/>
      <x:c r="E77" s="37"/>
      <x:c r="F77" s="43"/>
      <x:c r="G77" s="43"/>
      <x:c r="H77" s="43"/>
      <x:c r="I77" s="55" t="str">
        <x:f>IF(OR(F77="",G77="",H77=""),"",F77&amp;" "&amp;UPPER(G77)&amp;"."&amp;LOWER(H77))</x:f>
      </x:c>
      <x:c r="J77" s="37"/>
      <x:c r="K77" s="37"/>
      <x:c r="L77" s="46"/>
      <x:c r="M77" s="43"/>
      <x:c r="N77" s="43"/>
      <x:c r="O77" s="43"/>
      <x:c r="P77" s="58" t="str">
        <x:f>IF(N77="","","Estantería "&amp;N77&amp;IF(O77="",""," - Balda "&amp;N77&amp;O77))</x:f>
      </x:c>
      <x:c r="Q77" s="37"/>
      <x:c r="R77" s="37"/>
      <x:c r="S77" s="49"/>
      <x:c r="T77" s="37"/>
      <x:c r="U77" s="37"/>
      <x:c r="V77" s="37"/>
      <x:c r="W77" s="34"/>
      <x:c r="X77" s="52"/>
      <x:c r="Y77" s="61" t="str">
        <x:f>IF(A77="","",IF(COUNTIF($A$6:$A$605,A77)&gt;1,"DUPLICADO","OK"))</x:f>
      </x:c>
      <x:c r="Z77" s="61" t="str">
        <x:f>IF(A77="","",IF(C77="","FALTA TÍTULO",IF(E77="","FALTA ÁREA",IF(W77&lt;&gt;"Sí","PENDIENTE","LISTO"))))</x:f>
      </x:c>
    </x:row>
    <x:row r="78">
      <x:c r="A78" s="40"/>
      <x:c r="B78" s="40"/>
      <x:c r="C78" s="37"/>
      <x:c r="D78" s="37"/>
      <x:c r="E78" s="37"/>
      <x:c r="F78" s="43"/>
      <x:c r="G78" s="43"/>
      <x:c r="H78" s="43"/>
      <x:c r="I78" s="55" t="str">
        <x:f>IF(OR(F78="",G78="",H78=""),"",F78&amp;" "&amp;UPPER(G78)&amp;"."&amp;LOWER(H78))</x:f>
      </x:c>
      <x:c r="J78" s="37"/>
      <x:c r="K78" s="37"/>
      <x:c r="L78" s="46"/>
      <x:c r="M78" s="43"/>
      <x:c r="N78" s="43"/>
      <x:c r="O78" s="43"/>
      <x:c r="P78" s="58" t="str">
        <x:f>IF(N78="","","Estantería "&amp;N78&amp;IF(O78="",""," - Balda "&amp;N78&amp;O78))</x:f>
      </x:c>
      <x:c r="Q78" s="37"/>
      <x:c r="R78" s="37"/>
      <x:c r="S78" s="49"/>
      <x:c r="T78" s="37"/>
      <x:c r="U78" s="37"/>
      <x:c r="V78" s="37"/>
      <x:c r="W78" s="34"/>
      <x:c r="X78" s="52"/>
      <x:c r="Y78" s="61" t="str">
        <x:f>IF(A78="","",IF(COUNTIF($A$6:$A$605,A78)&gt;1,"DUPLICADO","OK"))</x:f>
      </x:c>
      <x:c r="Z78" s="61" t="str">
        <x:f>IF(A78="","",IF(C78="","FALTA TÍTULO",IF(E78="","FALTA ÁREA",IF(W78&lt;&gt;"Sí","PENDIENTE","LISTO"))))</x:f>
      </x:c>
    </x:row>
    <x:row r="79">
      <x:c r="A79" s="40"/>
      <x:c r="B79" s="40"/>
      <x:c r="C79" s="37"/>
      <x:c r="D79" s="37"/>
      <x:c r="E79" s="37"/>
      <x:c r="F79" s="43"/>
      <x:c r="G79" s="43"/>
      <x:c r="H79" s="43"/>
      <x:c r="I79" s="55" t="str">
        <x:f>IF(OR(F79="",G79="",H79=""),"",F79&amp;" "&amp;UPPER(G79)&amp;"."&amp;LOWER(H79))</x:f>
      </x:c>
      <x:c r="J79" s="37"/>
      <x:c r="K79" s="37"/>
      <x:c r="L79" s="46"/>
      <x:c r="M79" s="43"/>
      <x:c r="N79" s="43"/>
      <x:c r="O79" s="43"/>
      <x:c r="P79" s="58" t="str">
        <x:f>IF(N79="","","Estantería "&amp;N79&amp;IF(O79="",""," - Balda "&amp;N79&amp;O79))</x:f>
      </x:c>
      <x:c r="Q79" s="37"/>
      <x:c r="R79" s="37"/>
      <x:c r="S79" s="49"/>
      <x:c r="T79" s="37"/>
      <x:c r="U79" s="37"/>
      <x:c r="V79" s="37"/>
      <x:c r="W79" s="34"/>
      <x:c r="X79" s="52"/>
      <x:c r="Y79" s="61" t="str">
        <x:f>IF(A79="","",IF(COUNTIF($A$6:$A$605,A79)&gt;1,"DUPLICADO","OK"))</x:f>
      </x:c>
      <x:c r="Z79" s="61" t="str">
        <x:f>IF(A79="","",IF(C79="","FALTA TÍTULO",IF(E79="","FALTA ÁREA",IF(W79&lt;&gt;"Sí","PENDIENTE","LISTO"))))</x:f>
      </x:c>
    </x:row>
    <x:row r="80">
      <x:c r="A80" s="40"/>
      <x:c r="B80" s="40"/>
      <x:c r="C80" s="37"/>
      <x:c r="D80" s="37"/>
      <x:c r="E80" s="37"/>
      <x:c r="F80" s="43"/>
      <x:c r="G80" s="43"/>
      <x:c r="H80" s="43"/>
      <x:c r="I80" s="55" t="str">
        <x:f>IF(OR(F80="",G80="",H80=""),"",F80&amp;" "&amp;UPPER(G80)&amp;"."&amp;LOWER(H80))</x:f>
      </x:c>
      <x:c r="J80" s="37"/>
      <x:c r="K80" s="37"/>
      <x:c r="L80" s="46"/>
      <x:c r="M80" s="43"/>
      <x:c r="N80" s="43"/>
      <x:c r="O80" s="43"/>
      <x:c r="P80" s="58" t="str">
        <x:f>IF(N80="","","Estantería "&amp;N80&amp;IF(O80="",""," - Balda "&amp;N80&amp;O80))</x:f>
      </x:c>
      <x:c r="Q80" s="37"/>
      <x:c r="R80" s="37"/>
      <x:c r="S80" s="49"/>
      <x:c r="T80" s="37"/>
      <x:c r="U80" s="37"/>
      <x:c r="V80" s="37"/>
      <x:c r="W80" s="34"/>
      <x:c r="X80" s="52"/>
      <x:c r="Y80" s="61" t="str">
        <x:f>IF(A80="","",IF(COUNTIF($A$6:$A$605,A80)&gt;1,"DUPLICADO","OK"))</x:f>
      </x:c>
      <x:c r="Z80" s="61" t="str">
        <x:f>IF(A80="","",IF(C80="","FALTA TÍTULO",IF(E80="","FALTA ÁREA",IF(W80&lt;&gt;"Sí","PENDIENTE","LISTO"))))</x:f>
      </x:c>
    </x:row>
    <x:row r="81">
      <x:c r="A81" s="40"/>
      <x:c r="B81" s="40"/>
      <x:c r="C81" s="37"/>
      <x:c r="D81" s="37"/>
      <x:c r="E81" s="37"/>
      <x:c r="F81" s="43"/>
      <x:c r="G81" s="43"/>
      <x:c r="H81" s="43"/>
      <x:c r="I81" s="55" t="str">
        <x:f>IF(OR(F81="",G81="",H81=""),"",F81&amp;" "&amp;UPPER(G81)&amp;"."&amp;LOWER(H81))</x:f>
      </x:c>
      <x:c r="J81" s="37"/>
      <x:c r="K81" s="37"/>
      <x:c r="L81" s="46"/>
      <x:c r="M81" s="43"/>
      <x:c r="N81" s="43"/>
      <x:c r="O81" s="43"/>
      <x:c r="P81" s="58" t="str">
        <x:f>IF(N81="","","Estantería "&amp;N81&amp;IF(O81="",""," - Balda "&amp;N81&amp;O81))</x:f>
      </x:c>
      <x:c r="Q81" s="37"/>
      <x:c r="R81" s="37"/>
      <x:c r="S81" s="49"/>
      <x:c r="T81" s="37"/>
      <x:c r="U81" s="37"/>
      <x:c r="V81" s="37"/>
      <x:c r="W81" s="34"/>
      <x:c r="X81" s="52"/>
      <x:c r="Y81" s="61" t="str">
        <x:f>IF(A81="","",IF(COUNTIF($A$6:$A$605,A81)&gt;1,"DUPLICADO","OK"))</x:f>
      </x:c>
      <x:c r="Z81" s="61" t="str">
        <x:f>IF(A81="","",IF(C81="","FALTA TÍTULO",IF(E81="","FALTA ÁREA",IF(W81&lt;&gt;"Sí","PENDIENTE","LISTO"))))</x:f>
      </x:c>
    </x:row>
    <x:row r="82">
      <x:c r="A82" s="40"/>
      <x:c r="B82" s="40"/>
      <x:c r="C82" s="37"/>
      <x:c r="D82" s="37"/>
      <x:c r="E82" s="37"/>
      <x:c r="F82" s="43"/>
      <x:c r="G82" s="43"/>
      <x:c r="H82" s="43"/>
      <x:c r="I82" s="55" t="str">
        <x:f>IF(OR(F82="",G82="",H82=""),"",F82&amp;" "&amp;UPPER(G82)&amp;"."&amp;LOWER(H82))</x:f>
      </x:c>
      <x:c r="J82" s="37"/>
      <x:c r="K82" s="37"/>
      <x:c r="L82" s="46"/>
      <x:c r="M82" s="43"/>
      <x:c r="N82" s="43"/>
      <x:c r="O82" s="43"/>
      <x:c r="P82" s="58" t="str">
        <x:f>IF(N82="","","Estantería "&amp;N82&amp;IF(O82="",""," - Balda "&amp;N82&amp;O82))</x:f>
      </x:c>
      <x:c r="Q82" s="37"/>
      <x:c r="R82" s="37"/>
      <x:c r="S82" s="49"/>
      <x:c r="T82" s="37"/>
      <x:c r="U82" s="37"/>
      <x:c r="V82" s="37"/>
      <x:c r="W82" s="34"/>
      <x:c r="X82" s="52"/>
      <x:c r="Y82" s="61" t="str">
        <x:f>IF(A82="","",IF(COUNTIF($A$6:$A$605,A82)&gt;1,"DUPLICADO","OK"))</x:f>
      </x:c>
      <x:c r="Z82" s="61" t="str">
        <x:f>IF(A82="","",IF(C82="","FALTA TÍTULO",IF(E82="","FALTA ÁREA",IF(W82&lt;&gt;"Sí","PENDIENTE","LISTO"))))</x:f>
      </x:c>
    </x:row>
    <x:row r="83">
      <x:c r="A83" s="40"/>
      <x:c r="B83" s="40"/>
      <x:c r="C83" s="37"/>
      <x:c r="D83" s="37"/>
      <x:c r="E83" s="37"/>
      <x:c r="F83" s="43"/>
      <x:c r="G83" s="43"/>
      <x:c r="H83" s="43"/>
      <x:c r="I83" s="55" t="str">
        <x:f>IF(OR(F83="",G83="",H83=""),"",F83&amp;" "&amp;UPPER(G83)&amp;"."&amp;LOWER(H83))</x:f>
      </x:c>
      <x:c r="J83" s="37"/>
      <x:c r="K83" s="37"/>
      <x:c r="L83" s="46"/>
      <x:c r="M83" s="43"/>
      <x:c r="N83" s="43"/>
      <x:c r="O83" s="43"/>
      <x:c r="P83" s="58" t="str">
        <x:f>IF(N83="","","Estantería "&amp;N83&amp;IF(O83="",""," - Balda "&amp;N83&amp;O83))</x:f>
      </x:c>
      <x:c r="Q83" s="37"/>
      <x:c r="R83" s="37"/>
      <x:c r="S83" s="49"/>
      <x:c r="T83" s="37"/>
      <x:c r="U83" s="37"/>
      <x:c r="V83" s="37"/>
      <x:c r="W83" s="34"/>
      <x:c r="X83" s="52"/>
      <x:c r="Y83" s="61" t="str">
        <x:f>IF(A83="","",IF(COUNTIF($A$6:$A$605,A83)&gt;1,"DUPLICADO","OK"))</x:f>
      </x:c>
      <x:c r="Z83" s="61" t="str">
        <x:f>IF(A83="","",IF(C83="","FALTA TÍTULO",IF(E83="","FALTA ÁREA",IF(W83&lt;&gt;"Sí","PENDIENTE","LISTO"))))</x:f>
      </x:c>
    </x:row>
    <x:row r="84">
      <x:c r="A84" s="40"/>
      <x:c r="B84" s="40"/>
      <x:c r="C84" s="37"/>
      <x:c r="D84" s="37"/>
      <x:c r="E84" s="37"/>
      <x:c r="F84" s="43"/>
      <x:c r="G84" s="43"/>
      <x:c r="H84" s="43"/>
      <x:c r="I84" s="55" t="str">
        <x:f>IF(OR(F84="",G84="",H84=""),"",F84&amp;" "&amp;UPPER(G84)&amp;"."&amp;LOWER(H84))</x:f>
      </x:c>
      <x:c r="J84" s="37"/>
      <x:c r="K84" s="37"/>
      <x:c r="L84" s="46"/>
      <x:c r="M84" s="43"/>
      <x:c r="N84" s="43"/>
      <x:c r="O84" s="43"/>
      <x:c r="P84" s="58" t="str">
        <x:f>IF(N84="","","Estantería "&amp;N84&amp;IF(O84="",""," - Balda "&amp;N84&amp;O84))</x:f>
      </x:c>
      <x:c r="Q84" s="37"/>
      <x:c r="R84" s="37"/>
      <x:c r="S84" s="49"/>
      <x:c r="T84" s="37"/>
      <x:c r="U84" s="37"/>
      <x:c r="V84" s="37"/>
      <x:c r="W84" s="34"/>
      <x:c r="X84" s="52"/>
      <x:c r="Y84" s="61" t="str">
        <x:f>IF(A84="","",IF(COUNTIF($A$6:$A$605,A84)&gt;1,"DUPLICADO","OK"))</x:f>
      </x:c>
      <x:c r="Z84" s="61" t="str">
        <x:f>IF(A84="","",IF(C84="","FALTA TÍTULO",IF(E84="","FALTA ÁREA",IF(W84&lt;&gt;"Sí","PENDIENTE","LISTO"))))</x:f>
      </x:c>
    </x:row>
    <x:row r="85">
      <x:c r="A85" s="40"/>
      <x:c r="B85" s="40"/>
      <x:c r="C85" s="37"/>
      <x:c r="D85" s="37"/>
      <x:c r="E85" s="37"/>
      <x:c r="F85" s="43"/>
      <x:c r="G85" s="43"/>
      <x:c r="H85" s="43"/>
      <x:c r="I85" s="55" t="str">
        <x:f>IF(OR(F85="",G85="",H85=""),"",F85&amp;" "&amp;UPPER(G85)&amp;"."&amp;LOWER(H85))</x:f>
      </x:c>
      <x:c r="J85" s="37"/>
      <x:c r="K85" s="37"/>
      <x:c r="L85" s="46"/>
      <x:c r="M85" s="43"/>
      <x:c r="N85" s="43"/>
      <x:c r="O85" s="43"/>
      <x:c r="P85" s="58" t="str">
        <x:f>IF(N85="","","Estantería "&amp;N85&amp;IF(O85="",""," - Balda "&amp;N85&amp;O85))</x:f>
      </x:c>
      <x:c r="Q85" s="37"/>
      <x:c r="R85" s="37"/>
      <x:c r="S85" s="49"/>
      <x:c r="T85" s="37"/>
      <x:c r="U85" s="37"/>
      <x:c r="V85" s="37"/>
      <x:c r="W85" s="34"/>
      <x:c r="X85" s="52"/>
      <x:c r="Y85" s="61" t="str">
        <x:f>IF(A85="","",IF(COUNTIF($A$6:$A$605,A85)&gt;1,"DUPLICADO","OK"))</x:f>
      </x:c>
      <x:c r="Z85" s="61" t="str">
        <x:f>IF(A85="","",IF(C85="","FALTA TÍTULO",IF(E85="","FALTA ÁREA",IF(W85&lt;&gt;"Sí","PENDIENTE","LISTO"))))</x:f>
      </x:c>
    </x:row>
    <x:row r="86">
      <x:c r="A86" s="40"/>
      <x:c r="B86" s="40"/>
      <x:c r="C86" s="37"/>
      <x:c r="D86" s="37"/>
      <x:c r="E86" s="37"/>
      <x:c r="F86" s="43"/>
      <x:c r="G86" s="43"/>
      <x:c r="H86" s="43"/>
      <x:c r="I86" s="55" t="str">
        <x:f>IF(OR(F86="",G86="",H86=""),"",F86&amp;" "&amp;UPPER(G86)&amp;"."&amp;LOWER(H86))</x:f>
      </x:c>
      <x:c r="J86" s="37"/>
      <x:c r="K86" s="37"/>
      <x:c r="L86" s="46"/>
      <x:c r="M86" s="43"/>
      <x:c r="N86" s="43"/>
      <x:c r="O86" s="43"/>
      <x:c r="P86" s="58" t="str">
        <x:f>IF(N86="","","Estantería "&amp;N86&amp;IF(O86="",""," - Balda "&amp;N86&amp;O86))</x:f>
      </x:c>
      <x:c r="Q86" s="37"/>
      <x:c r="R86" s="37"/>
      <x:c r="S86" s="49"/>
      <x:c r="T86" s="37"/>
      <x:c r="U86" s="37"/>
      <x:c r="V86" s="37"/>
      <x:c r="W86" s="34"/>
      <x:c r="X86" s="52"/>
      <x:c r="Y86" s="61" t="str">
        <x:f>IF(A86="","",IF(COUNTIF($A$6:$A$605,A86)&gt;1,"DUPLICADO","OK"))</x:f>
      </x:c>
      <x:c r="Z86" s="61" t="str">
        <x:f>IF(A86="","",IF(C86="","FALTA TÍTULO",IF(E86="","FALTA ÁREA",IF(W86&lt;&gt;"Sí","PENDIENTE","LISTO"))))</x:f>
      </x:c>
    </x:row>
    <x:row r="87">
      <x:c r="A87" s="40"/>
      <x:c r="B87" s="40"/>
      <x:c r="C87" s="37"/>
      <x:c r="D87" s="37"/>
      <x:c r="E87" s="37"/>
      <x:c r="F87" s="43"/>
      <x:c r="G87" s="43"/>
      <x:c r="H87" s="43"/>
      <x:c r="I87" s="55" t="str">
        <x:f>IF(OR(F87="",G87="",H87=""),"",F87&amp;" "&amp;UPPER(G87)&amp;"."&amp;LOWER(H87))</x:f>
      </x:c>
      <x:c r="J87" s="37"/>
      <x:c r="K87" s="37"/>
      <x:c r="L87" s="46"/>
      <x:c r="M87" s="43"/>
      <x:c r="N87" s="43"/>
      <x:c r="O87" s="43"/>
      <x:c r="P87" s="58" t="str">
        <x:f>IF(N87="","","Estantería "&amp;N87&amp;IF(O87="",""," - Balda "&amp;N87&amp;O87))</x:f>
      </x:c>
      <x:c r="Q87" s="37"/>
      <x:c r="R87" s="37"/>
      <x:c r="S87" s="49"/>
      <x:c r="T87" s="37"/>
      <x:c r="U87" s="37"/>
      <x:c r="V87" s="37"/>
      <x:c r="W87" s="34"/>
      <x:c r="X87" s="52"/>
      <x:c r="Y87" s="61" t="str">
        <x:f>IF(A87="","",IF(COUNTIF($A$6:$A$605,A87)&gt;1,"DUPLICADO","OK"))</x:f>
      </x:c>
      <x:c r="Z87" s="61" t="str">
        <x:f>IF(A87="","",IF(C87="","FALTA TÍTULO",IF(E87="","FALTA ÁREA",IF(W87&lt;&gt;"Sí","PENDIENTE","LISTO"))))</x:f>
      </x:c>
    </x:row>
    <x:row r="88">
      <x:c r="A88" s="40"/>
      <x:c r="B88" s="40"/>
      <x:c r="C88" s="37"/>
      <x:c r="D88" s="37"/>
      <x:c r="E88" s="37"/>
      <x:c r="F88" s="43"/>
      <x:c r="G88" s="43"/>
      <x:c r="H88" s="43"/>
      <x:c r="I88" s="55" t="str">
        <x:f>IF(OR(F88="",G88="",H88=""),"",F88&amp;" "&amp;UPPER(G88)&amp;"."&amp;LOWER(H88))</x:f>
      </x:c>
      <x:c r="J88" s="37"/>
      <x:c r="K88" s="37"/>
      <x:c r="L88" s="46"/>
      <x:c r="M88" s="43"/>
      <x:c r="N88" s="43"/>
      <x:c r="O88" s="43"/>
      <x:c r="P88" s="58" t="str">
        <x:f>IF(N88="","","Estantería "&amp;N88&amp;IF(O88="",""," - Balda "&amp;N88&amp;O88))</x:f>
      </x:c>
      <x:c r="Q88" s="37"/>
      <x:c r="R88" s="37"/>
      <x:c r="S88" s="49"/>
      <x:c r="T88" s="37"/>
      <x:c r="U88" s="37"/>
      <x:c r="V88" s="37"/>
      <x:c r="W88" s="34"/>
      <x:c r="X88" s="52"/>
      <x:c r="Y88" s="61" t="str">
        <x:f>IF(A88="","",IF(COUNTIF($A$6:$A$605,A88)&gt;1,"DUPLICADO","OK"))</x:f>
      </x:c>
      <x:c r="Z88" s="61" t="str">
        <x:f>IF(A88="","",IF(C88="","FALTA TÍTULO",IF(E88="","FALTA ÁREA",IF(W88&lt;&gt;"Sí","PENDIENTE","LISTO"))))</x:f>
      </x:c>
    </x:row>
    <x:row r="89">
      <x:c r="A89" s="40"/>
      <x:c r="B89" s="40"/>
      <x:c r="C89" s="37"/>
      <x:c r="D89" s="37"/>
      <x:c r="E89" s="37"/>
      <x:c r="F89" s="43"/>
      <x:c r="G89" s="43"/>
      <x:c r="H89" s="43"/>
      <x:c r="I89" s="55" t="str">
        <x:f>IF(OR(F89="",G89="",H89=""),"",F89&amp;" "&amp;UPPER(G89)&amp;"."&amp;LOWER(H89))</x:f>
      </x:c>
      <x:c r="J89" s="37"/>
      <x:c r="K89" s="37"/>
      <x:c r="L89" s="46"/>
      <x:c r="M89" s="43"/>
      <x:c r="N89" s="43"/>
      <x:c r="O89" s="43"/>
      <x:c r="P89" s="58" t="str">
        <x:f>IF(N89="","","Estantería "&amp;N89&amp;IF(O89="",""," - Balda "&amp;N89&amp;O89))</x:f>
      </x:c>
      <x:c r="Q89" s="37"/>
      <x:c r="R89" s="37"/>
      <x:c r="S89" s="49"/>
      <x:c r="T89" s="37"/>
      <x:c r="U89" s="37"/>
      <x:c r="V89" s="37"/>
      <x:c r="W89" s="34"/>
      <x:c r="X89" s="52"/>
      <x:c r="Y89" s="61" t="str">
        <x:f>IF(A89="","",IF(COUNTIF($A$6:$A$605,A89)&gt;1,"DUPLICADO","OK"))</x:f>
      </x:c>
      <x:c r="Z89" s="61" t="str">
        <x:f>IF(A89="","",IF(C89="","FALTA TÍTULO",IF(E89="","FALTA ÁREA",IF(W89&lt;&gt;"Sí","PENDIENTE","LISTO"))))</x:f>
      </x:c>
    </x:row>
    <x:row r="90">
      <x:c r="A90" s="40"/>
      <x:c r="B90" s="40"/>
      <x:c r="C90" s="37"/>
      <x:c r="D90" s="37"/>
      <x:c r="E90" s="37"/>
      <x:c r="F90" s="43"/>
      <x:c r="G90" s="43"/>
      <x:c r="H90" s="43"/>
      <x:c r="I90" s="55" t="str">
        <x:f>IF(OR(F90="",G90="",H90=""),"",F90&amp;" "&amp;UPPER(G90)&amp;"."&amp;LOWER(H90))</x:f>
      </x:c>
      <x:c r="J90" s="37"/>
      <x:c r="K90" s="37"/>
      <x:c r="L90" s="46"/>
      <x:c r="M90" s="43"/>
      <x:c r="N90" s="43"/>
      <x:c r="O90" s="43"/>
      <x:c r="P90" s="58" t="str">
        <x:f>IF(N90="","","Estantería "&amp;N90&amp;IF(O90="",""," - Balda "&amp;N90&amp;O90))</x:f>
      </x:c>
      <x:c r="Q90" s="37"/>
      <x:c r="R90" s="37"/>
      <x:c r="S90" s="49"/>
      <x:c r="T90" s="37"/>
      <x:c r="U90" s="37"/>
      <x:c r="V90" s="37"/>
      <x:c r="W90" s="34"/>
      <x:c r="X90" s="52"/>
      <x:c r="Y90" s="61" t="str">
        <x:f>IF(A90="","",IF(COUNTIF($A$6:$A$605,A90)&gt;1,"DUPLICADO","OK"))</x:f>
      </x:c>
      <x:c r="Z90" s="61" t="str">
        <x:f>IF(A90="","",IF(C90="","FALTA TÍTULO",IF(E90="","FALTA ÁREA",IF(W90&lt;&gt;"Sí","PENDIENTE","LISTO"))))</x:f>
      </x:c>
    </x:row>
    <x:row r="91">
      <x:c r="A91" s="40"/>
      <x:c r="B91" s="40"/>
      <x:c r="C91" s="37"/>
      <x:c r="D91" s="37"/>
      <x:c r="E91" s="37"/>
      <x:c r="F91" s="43"/>
      <x:c r="G91" s="43"/>
      <x:c r="H91" s="43"/>
      <x:c r="I91" s="55" t="str">
        <x:f>IF(OR(F91="",G91="",H91=""),"",F91&amp;" "&amp;UPPER(G91)&amp;"."&amp;LOWER(H91))</x:f>
      </x:c>
      <x:c r="J91" s="37"/>
      <x:c r="K91" s="37"/>
      <x:c r="L91" s="46"/>
      <x:c r="M91" s="43"/>
      <x:c r="N91" s="43"/>
      <x:c r="O91" s="43"/>
      <x:c r="P91" s="58" t="str">
        <x:f>IF(N91="","","Estantería "&amp;N91&amp;IF(O91="",""," - Balda "&amp;N91&amp;O91))</x:f>
      </x:c>
      <x:c r="Q91" s="37"/>
      <x:c r="R91" s="37"/>
      <x:c r="S91" s="49"/>
      <x:c r="T91" s="37"/>
      <x:c r="U91" s="37"/>
      <x:c r="V91" s="37"/>
      <x:c r="W91" s="34"/>
      <x:c r="X91" s="52"/>
      <x:c r="Y91" s="61" t="str">
        <x:f>IF(A91="","",IF(COUNTIF($A$6:$A$605,A91)&gt;1,"DUPLICADO","OK"))</x:f>
      </x:c>
      <x:c r="Z91" s="61" t="str">
        <x:f>IF(A91="","",IF(C91="","FALTA TÍTULO",IF(E91="","FALTA ÁREA",IF(W91&lt;&gt;"Sí","PENDIENTE","LISTO"))))</x:f>
      </x:c>
    </x:row>
    <x:row r="92">
      <x:c r="A92" s="40"/>
      <x:c r="B92" s="40"/>
      <x:c r="C92" s="37"/>
      <x:c r="D92" s="37"/>
      <x:c r="E92" s="37"/>
      <x:c r="F92" s="43"/>
      <x:c r="G92" s="43"/>
      <x:c r="H92" s="43"/>
      <x:c r="I92" s="55" t="str">
        <x:f>IF(OR(F92="",G92="",H92=""),"",F92&amp;" "&amp;UPPER(G92)&amp;"."&amp;LOWER(H92))</x:f>
      </x:c>
      <x:c r="J92" s="37"/>
      <x:c r="K92" s="37"/>
      <x:c r="L92" s="46"/>
      <x:c r="M92" s="43"/>
      <x:c r="N92" s="43"/>
      <x:c r="O92" s="43"/>
      <x:c r="P92" s="58" t="str">
        <x:f>IF(N92="","","Estantería "&amp;N92&amp;IF(O92="",""," - Balda "&amp;N92&amp;O92))</x:f>
      </x:c>
      <x:c r="Q92" s="37"/>
      <x:c r="R92" s="37"/>
      <x:c r="S92" s="49"/>
      <x:c r="T92" s="37"/>
      <x:c r="U92" s="37"/>
      <x:c r="V92" s="37"/>
      <x:c r="W92" s="34"/>
      <x:c r="X92" s="52"/>
      <x:c r="Y92" s="61" t="str">
        <x:f>IF(A92="","",IF(COUNTIF($A$6:$A$605,A92)&gt;1,"DUPLICADO","OK"))</x:f>
      </x:c>
      <x:c r="Z92" s="61" t="str">
        <x:f>IF(A92="","",IF(C92="","FALTA TÍTULO",IF(E92="","FALTA ÁREA",IF(W92&lt;&gt;"Sí","PENDIENTE","LISTO"))))</x:f>
      </x:c>
    </x:row>
    <x:row r="93">
      <x:c r="A93" s="40"/>
      <x:c r="B93" s="40"/>
      <x:c r="C93" s="37"/>
      <x:c r="D93" s="37"/>
      <x:c r="E93" s="37"/>
      <x:c r="F93" s="43"/>
      <x:c r="G93" s="43"/>
      <x:c r="H93" s="43"/>
      <x:c r="I93" s="55" t="str">
        <x:f>IF(OR(F93="",G93="",H93=""),"",F93&amp;" "&amp;UPPER(G93)&amp;"."&amp;LOWER(H93))</x:f>
      </x:c>
      <x:c r="J93" s="37"/>
      <x:c r="K93" s="37"/>
      <x:c r="L93" s="46"/>
      <x:c r="M93" s="43"/>
      <x:c r="N93" s="43"/>
      <x:c r="O93" s="43"/>
      <x:c r="P93" s="58" t="str">
        <x:f>IF(N93="","","Estantería "&amp;N93&amp;IF(O93="",""," - Balda "&amp;N93&amp;O93))</x:f>
      </x:c>
      <x:c r="Q93" s="37"/>
      <x:c r="R93" s="37"/>
      <x:c r="S93" s="49"/>
      <x:c r="T93" s="37"/>
      <x:c r="U93" s="37"/>
      <x:c r="V93" s="37"/>
      <x:c r="W93" s="34"/>
      <x:c r="X93" s="52"/>
      <x:c r="Y93" s="61" t="str">
        <x:f>IF(A93="","",IF(COUNTIF($A$6:$A$605,A93)&gt;1,"DUPLICADO","OK"))</x:f>
      </x:c>
      <x:c r="Z93" s="61" t="str">
        <x:f>IF(A93="","",IF(C93="","FALTA TÍTULO",IF(E93="","FALTA ÁREA",IF(W93&lt;&gt;"Sí","PENDIENTE","LISTO"))))</x:f>
      </x:c>
    </x:row>
    <x:row r="94">
      <x:c r="A94" s="40"/>
      <x:c r="B94" s="40"/>
      <x:c r="C94" s="37"/>
      <x:c r="D94" s="37"/>
      <x:c r="E94" s="37"/>
      <x:c r="F94" s="43"/>
      <x:c r="G94" s="43"/>
      <x:c r="H94" s="43"/>
      <x:c r="I94" s="55" t="str">
        <x:f>IF(OR(F94="",G94="",H94=""),"",F94&amp;" "&amp;UPPER(G94)&amp;"."&amp;LOWER(H94))</x:f>
      </x:c>
      <x:c r="J94" s="37"/>
      <x:c r="K94" s="37"/>
      <x:c r="L94" s="46"/>
      <x:c r="M94" s="43"/>
      <x:c r="N94" s="43"/>
      <x:c r="O94" s="43"/>
      <x:c r="P94" s="58" t="str">
        <x:f>IF(N94="","","Estantería "&amp;N94&amp;IF(O94="",""," - Balda "&amp;N94&amp;O94))</x:f>
      </x:c>
      <x:c r="Q94" s="37"/>
      <x:c r="R94" s="37"/>
      <x:c r="S94" s="49"/>
      <x:c r="T94" s="37"/>
      <x:c r="U94" s="37"/>
      <x:c r="V94" s="37"/>
      <x:c r="W94" s="34"/>
      <x:c r="X94" s="52"/>
      <x:c r="Y94" s="61" t="str">
        <x:f>IF(A94="","",IF(COUNTIF($A$6:$A$605,A94)&gt;1,"DUPLICADO","OK"))</x:f>
      </x:c>
      <x:c r="Z94" s="61" t="str">
        <x:f>IF(A94="","",IF(C94="","FALTA TÍTULO",IF(E94="","FALTA ÁREA",IF(W94&lt;&gt;"Sí","PENDIENTE","LISTO"))))</x:f>
      </x:c>
    </x:row>
    <x:row r="95">
      <x:c r="A95" s="40"/>
      <x:c r="B95" s="40"/>
      <x:c r="C95" s="37"/>
      <x:c r="D95" s="37"/>
      <x:c r="E95" s="37"/>
      <x:c r="F95" s="43"/>
      <x:c r="G95" s="43"/>
      <x:c r="H95" s="43"/>
      <x:c r="I95" s="55" t="str">
        <x:f>IF(OR(F95="",G95="",H95=""),"",F95&amp;" "&amp;UPPER(G95)&amp;"."&amp;LOWER(H95))</x:f>
      </x:c>
      <x:c r="J95" s="37"/>
      <x:c r="K95" s="37"/>
      <x:c r="L95" s="46"/>
      <x:c r="M95" s="43"/>
      <x:c r="N95" s="43"/>
      <x:c r="O95" s="43"/>
      <x:c r="P95" s="58" t="str">
        <x:f>IF(N95="","","Estantería "&amp;N95&amp;IF(O95="",""," - Balda "&amp;N95&amp;O95))</x:f>
      </x:c>
      <x:c r="Q95" s="37"/>
      <x:c r="R95" s="37"/>
      <x:c r="S95" s="49"/>
      <x:c r="T95" s="37"/>
      <x:c r="U95" s="37"/>
      <x:c r="V95" s="37"/>
      <x:c r="W95" s="34"/>
      <x:c r="X95" s="52"/>
      <x:c r="Y95" s="61" t="str">
        <x:f>IF(A95="","",IF(COUNTIF($A$6:$A$605,A95)&gt;1,"DUPLICADO","OK"))</x:f>
      </x:c>
      <x:c r="Z95" s="61" t="str">
        <x:f>IF(A95="","",IF(C95="","FALTA TÍTULO",IF(E95="","FALTA ÁREA",IF(W95&lt;&gt;"Sí","PENDIENTE","LISTO"))))</x:f>
      </x:c>
    </x:row>
    <x:row r="96">
      <x:c r="A96" s="40"/>
      <x:c r="B96" s="40"/>
      <x:c r="C96" s="37"/>
      <x:c r="D96" s="37"/>
      <x:c r="E96" s="37"/>
      <x:c r="F96" s="43"/>
      <x:c r="G96" s="43"/>
      <x:c r="H96" s="43"/>
      <x:c r="I96" s="55" t="str">
        <x:f>IF(OR(F96="",G96="",H96=""),"",F96&amp;" "&amp;UPPER(G96)&amp;"."&amp;LOWER(H96))</x:f>
      </x:c>
      <x:c r="J96" s="37"/>
      <x:c r="K96" s="37"/>
      <x:c r="L96" s="46"/>
      <x:c r="M96" s="43"/>
      <x:c r="N96" s="43"/>
      <x:c r="O96" s="43"/>
      <x:c r="P96" s="58" t="str">
        <x:f>IF(N96="","","Estantería "&amp;N96&amp;IF(O96="",""," - Balda "&amp;N96&amp;O96))</x:f>
      </x:c>
      <x:c r="Q96" s="37"/>
      <x:c r="R96" s="37"/>
      <x:c r="S96" s="49"/>
      <x:c r="T96" s="37"/>
      <x:c r="U96" s="37"/>
      <x:c r="V96" s="37"/>
      <x:c r="W96" s="34"/>
      <x:c r="X96" s="52"/>
      <x:c r="Y96" s="61" t="str">
        <x:f>IF(A96="","",IF(COUNTIF($A$6:$A$605,A96)&gt;1,"DUPLICADO","OK"))</x:f>
      </x:c>
      <x:c r="Z96" s="61" t="str">
        <x:f>IF(A96="","",IF(C96="","FALTA TÍTULO",IF(E96="","FALTA ÁREA",IF(W96&lt;&gt;"Sí","PENDIENTE","LISTO"))))</x:f>
      </x:c>
    </x:row>
    <x:row r="97">
      <x:c r="A97" s="40"/>
      <x:c r="B97" s="40"/>
      <x:c r="C97" s="37"/>
      <x:c r="D97" s="37"/>
      <x:c r="E97" s="37"/>
      <x:c r="F97" s="43"/>
      <x:c r="G97" s="43"/>
      <x:c r="H97" s="43"/>
      <x:c r="I97" s="55" t="str">
        <x:f>IF(OR(F97="",G97="",H97=""),"",F97&amp;" "&amp;UPPER(G97)&amp;"."&amp;LOWER(H97))</x:f>
      </x:c>
      <x:c r="J97" s="37"/>
      <x:c r="K97" s="37"/>
      <x:c r="L97" s="46"/>
      <x:c r="M97" s="43"/>
      <x:c r="N97" s="43"/>
      <x:c r="O97" s="43"/>
      <x:c r="P97" s="58" t="str">
        <x:f>IF(N97="","","Estantería "&amp;N97&amp;IF(O97="",""," - Balda "&amp;N97&amp;O97))</x:f>
      </x:c>
      <x:c r="Q97" s="37"/>
      <x:c r="R97" s="37"/>
      <x:c r="S97" s="49"/>
      <x:c r="T97" s="37"/>
      <x:c r="U97" s="37"/>
      <x:c r="V97" s="37"/>
      <x:c r="W97" s="34"/>
      <x:c r="X97" s="52"/>
      <x:c r="Y97" s="61" t="str">
        <x:f>IF(A97="","",IF(COUNTIF($A$6:$A$605,A97)&gt;1,"DUPLICADO","OK"))</x:f>
      </x:c>
      <x:c r="Z97" s="61" t="str">
        <x:f>IF(A97="","",IF(C97="","FALTA TÍTULO",IF(E97="","FALTA ÁREA",IF(W97&lt;&gt;"Sí","PENDIENTE","LISTO"))))</x:f>
      </x:c>
    </x:row>
    <x:row r="98">
      <x:c r="A98" s="40"/>
      <x:c r="B98" s="40"/>
      <x:c r="C98" s="37"/>
      <x:c r="D98" s="37"/>
      <x:c r="E98" s="37"/>
      <x:c r="F98" s="43"/>
      <x:c r="G98" s="43"/>
      <x:c r="H98" s="43"/>
      <x:c r="I98" s="55" t="str">
        <x:f>IF(OR(F98="",G98="",H98=""),"",F98&amp;" "&amp;UPPER(G98)&amp;"."&amp;LOWER(H98))</x:f>
      </x:c>
      <x:c r="J98" s="37"/>
      <x:c r="K98" s="37"/>
      <x:c r="L98" s="46"/>
      <x:c r="M98" s="43"/>
      <x:c r="N98" s="43"/>
      <x:c r="O98" s="43"/>
      <x:c r="P98" s="58" t="str">
        <x:f>IF(N98="","","Estantería "&amp;N98&amp;IF(O98="",""," - Balda "&amp;N98&amp;O98))</x:f>
      </x:c>
      <x:c r="Q98" s="37"/>
      <x:c r="R98" s="37"/>
      <x:c r="S98" s="49"/>
      <x:c r="T98" s="37"/>
      <x:c r="U98" s="37"/>
      <x:c r="V98" s="37"/>
      <x:c r="W98" s="34"/>
      <x:c r="X98" s="52"/>
      <x:c r="Y98" s="61" t="str">
        <x:f>IF(A98="","",IF(COUNTIF($A$6:$A$605,A98)&gt;1,"DUPLICADO","OK"))</x:f>
      </x:c>
      <x:c r="Z98" s="61" t="str">
        <x:f>IF(A98="","",IF(C98="","FALTA TÍTULO",IF(E98="","FALTA ÁREA",IF(W98&lt;&gt;"Sí","PENDIENTE","LISTO"))))</x:f>
      </x:c>
    </x:row>
    <x:row r="99">
      <x:c r="A99" s="40"/>
      <x:c r="B99" s="40"/>
      <x:c r="C99" s="37"/>
      <x:c r="D99" s="37"/>
      <x:c r="E99" s="37"/>
      <x:c r="F99" s="43"/>
      <x:c r="G99" s="43"/>
      <x:c r="H99" s="43"/>
      <x:c r="I99" s="55" t="str">
        <x:f>IF(OR(F99="",G99="",H99=""),"",F99&amp;" "&amp;UPPER(G99)&amp;"."&amp;LOWER(H99))</x:f>
      </x:c>
      <x:c r="J99" s="37"/>
      <x:c r="K99" s="37"/>
      <x:c r="L99" s="46"/>
      <x:c r="M99" s="43"/>
      <x:c r="N99" s="43"/>
      <x:c r="O99" s="43"/>
      <x:c r="P99" s="58" t="str">
        <x:f>IF(N99="","","Estantería "&amp;N99&amp;IF(O99="",""," - Balda "&amp;N99&amp;O99))</x:f>
      </x:c>
      <x:c r="Q99" s="37"/>
      <x:c r="R99" s="37"/>
      <x:c r="S99" s="49"/>
      <x:c r="T99" s="37"/>
      <x:c r="U99" s="37"/>
      <x:c r="V99" s="37"/>
      <x:c r="W99" s="34"/>
      <x:c r="X99" s="52"/>
      <x:c r="Y99" s="61" t="str">
        <x:f>IF(A99="","",IF(COUNTIF($A$6:$A$605,A99)&gt;1,"DUPLICADO","OK"))</x:f>
      </x:c>
      <x:c r="Z99" s="61" t="str">
        <x:f>IF(A99="","",IF(C99="","FALTA TÍTULO",IF(E99="","FALTA ÁREA",IF(W99&lt;&gt;"Sí","PENDIENTE","LISTO"))))</x:f>
      </x:c>
    </x:row>
    <x:row r="100">
      <x:c r="A100" s="40"/>
      <x:c r="B100" s="40"/>
      <x:c r="C100" s="37"/>
      <x:c r="D100" s="37"/>
      <x:c r="E100" s="37"/>
      <x:c r="F100" s="43"/>
      <x:c r="G100" s="43"/>
      <x:c r="H100" s="43"/>
      <x:c r="I100" s="55" t="str">
        <x:f>IF(OR(F100="",G100="",H100=""),"",F100&amp;" "&amp;UPPER(G100)&amp;"."&amp;LOWER(H100))</x:f>
      </x:c>
      <x:c r="J100" s="37"/>
      <x:c r="K100" s="37"/>
      <x:c r="L100" s="46"/>
      <x:c r="M100" s="43"/>
      <x:c r="N100" s="43"/>
      <x:c r="O100" s="43"/>
      <x:c r="P100" s="58" t="str">
        <x:f>IF(N100="","","Estantería "&amp;N100&amp;IF(O100="",""," - Balda "&amp;N100&amp;O100))</x:f>
      </x:c>
      <x:c r="Q100" s="37"/>
      <x:c r="R100" s="37"/>
      <x:c r="S100" s="49"/>
      <x:c r="T100" s="37"/>
      <x:c r="U100" s="37"/>
      <x:c r="V100" s="37"/>
      <x:c r="W100" s="34"/>
      <x:c r="X100" s="52"/>
      <x:c r="Y100" s="61" t="str">
        <x:f>IF(A100="","",IF(COUNTIF($A$6:$A$605,A100)&gt;1,"DUPLICADO","OK"))</x:f>
      </x:c>
      <x:c r="Z100" s="61" t="str">
        <x:f>IF(A100="","",IF(C100="","FALTA TÍTULO",IF(E100="","FALTA ÁREA",IF(W100&lt;&gt;"Sí","PENDIENTE","LISTO"))))</x:f>
      </x:c>
    </x:row>
    <x:row r="101">
      <x:c r="A101" s="40"/>
      <x:c r="B101" s="40"/>
      <x:c r="C101" s="37"/>
      <x:c r="D101" s="37"/>
      <x:c r="E101" s="37"/>
      <x:c r="F101" s="43"/>
      <x:c r="G101" s="43"/>
      <x:c r="H101" s="43"/>
      <x:c r="I101" s="55" t="str">
        <x:f>IF(OR(F101="",G101="",H101=""),"",F101&amp;" "&amp;UPPER(G101)&amp;"."&amp;LOWER(H101))</x:f>
      </x:c>
      <x:c r="J101" s="37"/>
      <x:c r="K101" s="37"/>
      <x:c r="L101" s="46"/>
      <x:c r="M101" s="43"/>
      <x:c r="N101" s="43"/>
      <x:c r="O101" s="43"/>
      <x:c r="P101" s="58" t="str">
        <x:f>IF(N101="","","Estantería "&amp;N101&amp;IF(O101="",""," - Balda "&amp;N101&amp;O101))</x:f>
      </x:c>
      <x:c r="Q101" s="37"/>
      <x:c r="R101" s="37"/>
      <x:c r="S101" s="49"/>
      <x:c r="T101" s="37"/>
      <x:c r="U101" s="37"/>
      <x:c r="V101" s="37"/>
      <x:c r="W101" s="34"/>
      <x:c r="X101" s="52"/>
      <x:c r="Y101" s="61" t="str">
        <x:f>IF(A101="","",IF(COUNTIF($A$6:$A$605,A101)&gt;1,"DUPLICADO","OK"))</x:f>
      </x:c>
      <x:c r="Z101" s="61" t="str">
        <x:f>IF(A101="","",IF(C101="","FALTA TÍTULO",IF(E101="","FALTA ÁREA",IF(W101&lt;&gt;"Sí","PENDIENTE","LISTO"))))</x:f>
      </x:c>
    </x:row>
    <x:row r="102">
      <x:c r="A102" s="40"/>
      <x:c r="B102" s="40"/>
      <x:c r="C102" s="37"/>
      <x:c r="D102" s="37"/>
      <x:c r="E102" s="37"/>
      <x:c r="F102" s="43"/>
      <x:c r="G102" s="43"/>
      <x:c r="H102" s="43"/>
      <x:c r="I102" s="55" t="str">
        <x:f>IF(OR(F102="",G102="",H102=""),"",F102&amp;" "&amp;UPPER(G102)&amp;"."&amp;LOWER(H102))</x:f>
      </x:c>
      <x:c r="J102" s="37"/>
      <x:c r="K102" s="37"/>
      <x:c r="L102" s="46"/>
      <x:c r="M102" s="43"/>
      <x:c r="N102" s="43"/>
      <x:c r="O102" s="43"/>
      <x:c r="P102" s="58" t="str">
        <x:f>IF(N102="","","Estantería "&amp;N102&amp;IF(O102="",""," - Balda "&amp;N102&amp;O102))</x:f>
      </x:c>
      <x:c r="Q102" s="37"/>
      <x:c r="R102" s="37"/>
      <x:c r="S102" s="49"/>
      <x:c r="T102" s="37"/>
      <x:c r="U102" s="37"/>
      <x:c r="V102" s="37"/>
      <x:c r="W102" s="34"/>
      <x:c r="X102" s="52"/>
      <x:c r="Y102" s="61" t="str">
        <x:f>IF(A102="","",IF(COUNTIF($A$6:$A$605,A102)&gt;1,"DUPLICADO","OK"))</x:f>
      </x:c>
      <x:c r="Z102" s="61" t="str">
        <x:f>IF(A102="","",IF(C102="","FALTA TÍTULO",IF(E102="","FALTA ÁREA",IF(W102&lt;&gt;"Sí","PENDIENTE","LISTO"))))</x:f>
      </x:c>
    </x:row>
    <x:row r="103">
      <x:c r="A103" s="40"/>
      <x:c r="B103" s="40"/>
      <x:c r="C103" s="37"/>
      <x:c r="D103" s="37"/>
      <x:c r="E103" s="37"/>
      <x:c r="F103" s="43"/>
      <x:c r="G103" s="43"/>
      <x:c r="H103" s="43"/>
      <x:c r="I103" s="55" t="str">
        <x:f>IF(OR(F103="",G103="",H103=""),"",F103&amp;" "&amp;UPPER(G103)&amp;"."&amp;LOWER(H103))</x:f>
      </x:c>
      <x:c r="J103" s="37"/>
      <x:c r="K103" s="37"/>
      <x:c r="L103" s="46"/>
      <x:c r="M103" s="43"/>
      <x:c r="N103" s="43"/>
      <x:c r="O103" s="43"/>
      <x:c r="P103" s="58" t="str">
        <x:f>IF(N103="","","Estantería "&amp;N103&amp;IF(O103="",""," - Balda "&amp;N103&amp;O103))</x:f>
      </x:c>
      <x:c r="Q103" s="37"/>
      <x:c r="R103" s="37"/>
      <x:c r="S103" s="49"/>
      <x:c r="T103" s="37"/>
      <x:c r="U103" s="37"/>
      <x:c r="V103" s="37"/>
      <x:c r="W103" s="34"/>
      <x:c r="X103" s="52"/>
      <x:c r="Y103" s="61" t="str">
        <x:f>IF(A103="","",IF(COUNTIF($A$6:$A$605,A103)&gt;1,"DUPLICADO","OK"))</x:f>
      </x:c>
      <x:c r="Z103" s="61" t="str">
        <x:f>IF(A103="","",IF(C103="","FALTA TÍTULO",IF(E103="","FALTA ÁREA",IF(W103&lt;&gt;"Sí","PENDIENTE","LISTO"))))</x:f>
      </x:c>
    </x:row>
    <x:row r="104">
      <x:c r="A104" s="40"/>
      <x:c r="B104" s="40"/>
      <x:c r="C104" s="37"/>
      <x:c r="D104" s="37"/>
      <x:c r="E104" s="37"/>
      <x:c r="F104" s="43"/>
      <x:c r="G104" s="43"/>
      <x:c r="H104" s="43"/>
      <x:c r="I104" s="55" t="str">
        <x:f>IF(OR(F104="",G104="",H104=""),"",F104&amp;" "&amp;UPPER(G104)&amp;"."&amp;LOWER(H104))</x:f>
      </x:c>
      <x:c r="J104" s="37"/>
      <x:c r="K104" s="37"/>
      <x:c r="L104" s="46"/>
      <x:c r="M104" s="43"/>
      <x:c r="N104" s="43"/>
      <x:c r="O104" s="43"/>
      <x:c r="P104" s="58" t="str">
        <x:f>IF(N104="","","Estantería "&amp;N104&amp;IF(O104="",""," - Balda "&amp;N104&amp;O104))</x:f>
      </x:c>
      <x:c r="Q104" s="37"/>
      <x:c r="R104" s="37"/>
      <x:c r="S104" s="49"/>
      <x:c r="T104" s="37"/>
      <x:c r="U104" s="37"/>
      <x:c r="V104" s="37"/>
      <x:c r="W104" s="34"/>
      <x:c r="X104" s="52"/>
      <x:c r="Y104" s="61" t="str">
        <x:f>IF(A104="","",IF(COUNTIF($A$6:$A$605,A104)&gt;1,"DUPLICADO","OK"))</x:f>
      </x:c>
      <x:c r="Z104" s="61" t="str">
        <x:f>IF(A104="","",IF(C104="","FALTA TÍTULO",IF(E104="","FALTA ÁREA",IF(W104&lt;&gt;"Sí","PENDIENTE","LISTO"))))</x:f>
      </x:c>
    </x:row>
    <x:row r="105">
      <x:c r="A105" s="40"/>
      <x:c r="B105" s="40"/>
      <x:c r="C105" s="37"/>
      <x:c r="D105" s="37"/>
      <x:c r="E105" s="37"/>
      <x:c r="F105" s="43"/>
      <x:c r="G105" s="43"/>
      <x:c r="H105" s="43"/>
      <x:c r="I105" s="55" t="str">
        <x:f>IF(OR(F105="",G105="",H105=""),"",F105&amp;" "&amp;UPPER(G105)&amp;"."&amp;LOWER(H105))</x:f>
      </x:c>
      <x:c r="J105" s="37"/>
      <x:c r="K105" s="37"/>
      <x:c r="L105" s="46"/>
      <x:c r="M105" s="43"/>
      <x:c r="N105" s="43"/>
      <x:c r="O105" s="43"/>
      <x:c r="P105" s="58" t="str">
        <x:f>IF(N105="","","Estantería "&amp;N105&amp;IF(O105="",""," - Balda "&amp;N105&amp;O105))</x:f>
      </x:c>
      <x:c r="Q105" s="37"/>
      <x:c r="R105" s="37"/>
      <x:c r="S105" s="49"/>
      <x:c r="T105" s="37"/>
      <x:c r="U105" s="37"/>
      <x:c r="V105" s="37"/>
      <x:c r="W105" s="34"/>
      <x:c r="X105" s="52"/>
      <x:c r="Y105" s="61" t="str">
        <x:f>IF(A105="","",IF(COUNTIF($A$6:$A$605,A105)&gt;1,"DUPLICADO","OK"))</x:f>
      </x:c>
      <x:c r="Z105" s="61" t="str">
        <x:f>IF(A105="","",IF(C105="","FALTA TÍTULO",IF(E105="","FALTA ÁREA",IF(W105&lt;&gt;"Sí","PENDIENTE","LISTO"))))</x:f>
      </x:c>
    </x:row>
    <x:row r="106">
      <x:c r="A106" s="40"/>
      <x:c r="B106" s="40"/>
      <x:c r="C106" s="37"/>
      <x:c r="D106" s="37"/>
      <x:c r="E106" s="37"/>
      <x:c r="F106" s="43"/>
      <x:c r="G106" s="43"/>
      <x:c r="H106" s="43"/>
      <x:c r="I106" s="55" t="str">
        <x:f>IF(OR(F106="",G106="",H106=""),"",F106&amp;" "&amp;UPPER(G106)&amp;"."&amp;LOWER(H106))</x:f>
      </x:c>
      <x:c r="J106" s="37"/>
      <x:c r="K106" s="37"/>
      <x:c r="L106" s="46"/>
      <x:c r="M106" s="43"/>
      <x:c r="N106" s="43"/>
      <x:c r="O106" s="43"/>
      <x:c r="P106" s="58" t="str">
        <x:f>IF(N106="","","Estantería "&amp;N106&amp;IF(O106="",""," - Balda "&amp;N106&amp;O106))</x:f>
      </x:c>
      <x:c r="Q106" s="37"/>
      <x:c r="R106" s="37"/>
      <x:c r="S106" s="49"/>
      <x:c r="T106" s="37"/>
      <x:c r="U106" s="37"/>
      <x:c r="V106" s="37"/>
      <x:c r="W106" s="34"/>
      <x:c r="X106" s="52"/>
      <x:c r="Y106" s="61" t="str">
        <x:f>IF(A106="","",IF(COUNTIF($A$6:$A$605,A106)&gt;1,"DUPLICADO","OK"))</x:f>
      </x:c>
      <x:c r="Z106" s="61" t="str">
        <x:f>IF(A106="","",IF(C106="","FALTA TÍTULO",IF(E106="","FALTA ÁREA",IF(W106&lt;&gt;"Sí","PENDIENTE","LISTO"))))</x:f>
      </x:c>
    </x:row>
    <x:row r="107">
      <x:c r="A107" s="40"/>
      <x:c r="B107" s="40"/>
      <x:c r="C107" s="37"/>
      <x:c r="D107" s="37"/>
      <x:c r="E107" s="37"/>
      <x:c r="F107" s="43"/>
      <x:c r="G107" s="43"/>
      <x:c r="H107" s="43"/>
      <x:c r="I107" s="55" t="str">
        <x:f>IF(OR(F107="",G107="",H107=""),"",F107&amp;" "&amp;UPPER(G107)&amp;"."&amp;LOWER(H107))</x:f>
      </x:c>
      <x:c r="J107" s="37"/>
      <x:c r="K107" s="37"/>
      <x:c r="L107" s="46"/>
      <x:c r="M107" s="43"/>
      <x:c r="N107" s="43"/>
      <x:c r="O107" s="43"/>
      <x:c r="P107" s="58" t="str">
        <x:f>IF(N107="","","Estantería "&amp;N107&amp;IF(O107="",""," - Balda "&amp;N107&amp;O107))</x:f>
      </x:c>
      <x:c r="Q107" s="37"/>
      <x:c r="R107" s="37"/>
      <x:c r="S107" s="49"/>
      <x:c r="T107" s="37"/>
      <x:c r="U107" s="37"/>
      <x:c r="V107" s="37"/>
      <x:c r="W107" s="34"/>
      <x:c r="X107" s="52"/>
      <x:c r="Y107" s="61" t="str">
        <x:f>IF(A107="","",IF(COUNTIF($A$6:$A$605,A107)&gt;1,"DUPLICADO","OK"))</x:f>
      </x:c>
      <x:c r="Z107" s="61" t="str">
        <x:f>IF(A107="","",IF(C107="","FALTA TÍTULO",IF(E107="","FALTA ÁREA",IF(W107&lt;&gt;"Sí","PENDIENTE","LISTO"))))</x:f>
      </x:c>
    </x:row>
    <x:row r="108">
      <x:c r="A108" s="40"/>
      <x:c r="B108" s="40"/>
      <x:c r="C108" s="37"/>
      <x:c r="D108" s="37"/>
      <x:c r="E108" s="37"/>
      <x:c r="F108" s="43"/>
      <x:c r="G108" s="43"/>
      <x:c r="H108" s="43"/>
      <x:c r="I108" s="55" t="str">
        <x:f>IF(OR(F108="",G108="",H108=""),"",F108&amp;" "&amp;UPPER(G108)&amp;"."&amp;LOWER(H108))</x:f>
      </x:c>
      <x:c r="J108" s="37"/>
      <x:c r="K108" s="37"/>
      <x:c r="L108" s="46"/>
      <x:c r="M108" s="43"/>
      <x:c r="N108" s="43"/>
      <x:c r="O108" s="43"/>
      <x:c r="P108" s="58" t="str">
        <x:f>IF(N108="","","Estantería "&amp;N108&amp;IF(O108="",""," - Balda "&amp;N108&amp;O108))</x:f>
      </x:c>
      <x:c r="Q108" s="37"/>
      <x:c r="R108" s="37"/>
      <x:c r="S108" s="49"/>
      <x:c r="T108" s="37"/>
      <x:c r="U108" s="37"/>
      <x:c r="V108" s="37"/>
      <x:c r="W108" s="34"/>
      <x:c r="X108" s="52"/>
      <x:c r="Y108" s="61" t="str">
        <x:f>IF(A108="","",IF(COUNTIF($A$6:$A$605,A108)&gt;1,"DUPLICADO","OK"))</x:f>
      </x:c>
      <x:c r="Z108" s="61" t="str">
        <x:f>IF(A108="","",IF(C108="","FALTA TÍTULO",IF(E108="","FALTA ÁREA",IF(W108&lt;&gt;"Sí","PENDIENTE","LISTO"))))</x:f>
      </x:c>
    </x:row>
    <x:row r="109">
      <x:c r="A109" s="40"/>
      <x:c r="B109" s="40"/>
      <x:c r="C109" s="37"/>
      <x:c r="D109" s="37"/>
      <x:c r="E109" s="37"/>
      <x:c r="F109" s="43"/>
      <x:c r="G109" s="43"/>
      <x:c r="H109" s="43"/>
      <x:c r="I109" s="55" t="str">
        <x:f>IF(OR(F109="",G109="",H109=""),"",F109&amp;" "&amp;UPPER(G109)&amp;"."&amp;LOWER(H109))</x:f>
      </x:c>
      <x:c r="J109" s="37"/>
      <x:c r="K109" s="37"/>
      <x:c r="L109" s="46"/>
      <x:c r="M109" s="43"/>
      <x:c r="N109" s="43"/>
      <x:c r="O109" s="43"/>
      <x:c r="P109" s="58" t="str">
        <x:f>IF(N109="","","Estantería "&amp;N109&amp;IF(O109="",""," - Balda "&amp;N109&amp;O109))</x:f>
      </x:c>
      <x:c r="Q109" s="37"/>
      <x:c r="R109" s="37"/>
      <x:c r="S109" s="49"/>
      <x:c r="T109" s="37"/>
      <x:c r="U109" s="37"/>
      <x:c r="V109" s="37"/>
      <x:c r="W109" s="34"/>
      <x:c r="X109" s="52"/>
      <x:c r="Y109" s="61" t="str">
        <x:f>IF(A109="","",IF(COUNTIF($A$6:$A$605,A109)&gt;1,"DUPLICADO","OK"))</x:f>
      </x:c>
      <x:c r="Z109" s="61" t="str">
        <x:f>IF(A109="","",IF(C109="","FALTA TÍTULO",IF(E109="","FALTA ÁREA",IF(W109&lt;&gt;"Sí","PENDIENTE","LISTO"))))</x:f>
      </x:c>
    </x:row>
    <x:row r="110">
      <x:c r="A110" s="40"/>
      <x:c r="B110" s="40"/>
      <x:c r="C110" s="37"/>
      <x:c r="D110" s="37"/>
      <x:c r="E110" s="37"/>
      <x:c r="F110" s="43"/>
      <x:c r="G110" s="43"/>
      <x:c r="H110" s="43"/>
      <x:c r="I110" s="55" t="str">
        <x:f>IF(OR(F110="",G110="",H110=""),"",F110&amp;" "&amp;UPPER(G110)&amp;"."&amp;LOWER(H110))</x:f>
      </x:c>
      <x:c r="J110" s="37"/>
      <x:c r="K110" s="37"/>
      <x:c r="L110" s="46"/>
      <x:c r="M110" s="43"/>
      <x:c r="N110" s="43"/>
      <x:c r="O110" s="43"/>
      <x:c r="P110" s="58" t="str">
        <x:f>IF(N110="","","Estantería "&amp;N110&amp;IF(O110="",""," - Balda "&amp;N110&amp;O110))</x:f>
      </x:c>
      <x:c r="Q110" s="37"/>
      <x:c r="R110" s="37"/>
      <x:c r="S110" s="49"/>
      <x:c r="T110" s="37"/>
      <x:c r="U110" s="37"/>
      <x:c r="V110" s="37"/>
      <x:c r="W110" s="34"/>
      <x:c r="X110" s="52"/>
      <x:c r="Y110" s="61" t="str">
        <x:f>IF(A110="","",IF(COUNTIF($A$6:$A$605,A110)&gt;1,"DUPLICADO","OK"))</x:f>
      </x:c>
      <x:c r="Z110" s="61" t="str">
        <x:f>IF(A110="","",IF(C110="","FALTA TÍTULO",IF(E110="","FALTA ÁREA",IF(W110&lt;&gt;"Sí","PENDIENTE","LISTO"))))</x:f>
      </x:c>
    </x:row>
    <x:row r="111">
      <x:c r="A111" s="40"/>
      <x:c r="B111" s="40"/>
      <x:c r="C111" s="37"/>
      <x:c r="D111" s="37"/>
      <x:c r="E111" s="37"/>
      <x:c r="F111" s="43"/>
      <x:c r="G111" s="43"/>
      <x:c r="H111" s="43"/>
      <x:c r="I111" s="55" t="str">
        <x:f>IF(OR(F111="",G111="",H111=""),"",F111&amp;" "&amp;UPPER(G111)&amp;"."&amp;LOWER(H111))</x:f>
      </x:c>
      <x:c r="J111" s="37"/>
      <x:c r="K111" s="37"/>
      <x:c r="L111" s="46"/>
      <x:c r="M111" s="43"/>
      <x:c r="N111" s="43"/>
      <x:c r="O111" s="43"/>
      <x:c r="P111" s="58" t="str">
        <x:f>IF(N111="","","Estantería "&amp;N111&amp;IF(O111="",""," - Balda "&amp;N111&amp;O111))</x:f>
      </x:c>
      <x:c r="Q111" s="37"/>
      <x:c r="R111" s="37"/>
      <x:c r="S111" s="49"/>
      <x:c r="T111" s="37"/>
      <x:c r="U111" s="37"/>
      <x:c r="V111" s="37"/>
      <x:c r="W111" s="34"/>
      <x:c r="X111" s="52"/>
      <x:c r="Y111" s="61" t="str">
        <x:f>IF(A111="","",IF(COUNTIF($A$6:$A$605,A111)&gt;1,"DUPLICADO","OK"))</x:f>
      </x:c>
      <x:c r="Z111" s="61" t="str">
        <x:f>IF(A111="","",IF(C111="","FALTA TÍTULO",IF(E111="","FALTA ÁREA",IF(W111&lt;&gt;"Sí","PENDIENTE","LISTO"))))</x:f>
      </x:c>
    </x:row>
    <x:row r="112">
      <x:c r="A112" s="40"/>
      <x:c r="B112" s="40"/>
      <x:c r="C112" s="37"/>
      <x:c r="D112" s="37"/>
      <x:c r="E112" s="37"/>
      <x:c r="F112" s="43"/>
      <x:c r="G112" s="43"/>
      <x:c r="H112" s="43"/>
      <x:c r="I112" s="55" t="str">
        <x:f>IF(OR(F112="",G112="",H112=""),"",F112&amp;" "&amp;UPPER(G112)&amp;"."&amp;LOWER(H112))</x:f>
      </x:c>
      <x:c r="J112" s="37"/>
      <x:c r="K112" s="37"/>
      <x:c r="L112" s="46"/>
      <x:c r="M112" s="43"/>
      <x:c r="N112" s="43"/>
      <x:c r="O112" s="43"/>
      <x:c r="P112" s="58" t="str">
        <x:f>IF(N112="","","Estantería "&amp;N112&amp;IF(O112="",""," - Balda "&amp;N112&amp;O112))</x:f>
      </x:c>
      <x:c r="Q112" s="37"/>
      <x:c r="R112" s="37"/>
      <x:c r="S112" s="49"/>
      <x:c r="T112" s="37"/>
      <x:c r="U112" s="37"/>
      <x:c r="V112" s="37"/>
      <x:c r="W112" s="34"/>
      <x:c r="X112" s="52"/>
      <x:c r="Y112" s="61" t="str">
        <x:f>IF(A112="","",IF(COUNTIF($A$6:$A$605,A112)&gt;1,"DUPLICADO","OK"))</x:f>
      </x:c>
      <x:c r="Z112" s="61" t="str">
        <x:f>IF(A112="","",IF(C112="","FALTA TÍTULO",IF(E112="","FALTA ÁREA",IF(W112&lt;&gt;"Sí","PENDIENTE","LISTO"))))</x:f>
      </x:c>
    </x:row>
    <x:row r="113">
      <x:c r="A113" s="40"/>
      <x:c r="B113" s="40"/>
      <x:c r="C113" s="37"/>
      <x:c r="D113" s="37"/>
      <x:c r="E113" s="37"/>
      <x:c r="F113" s="43"/>
      <x:c r="G113" s="43"/>
      <x:c r="H113" s="43"/>
      <x:c r="I113" s="55" t="str">
        <x:f>IF(OR(F113="",G113="",H113=""),"",F113&amp;" "&amp;UPPER(G113)&amp;"."&amp;LOWER(H113))</x:f>
      </x:c>
      <x:c r="J113" s="37"/>
      <x:c r="K113" s="37"/>
      <x:c r="L113" s="46"/>
      <x:c r="M113" s="43"/>
      <x:c r="N113" s="43"/>
      <x:c r="O113" s="43"/>
      <x:c r="P113" s="58" t="str">
        <x:f>IF(N113="","","Estantería "&amp;N113&amp;IF(O113="",""," - Balda "&amp;N113&amp;O113))</x:f>
      </x:c>
      <x:c r="Q113" s="37"/>
      <x:c r="R113" s="37"/>
      <x:c r="S113" s="49"/>
      <x:c r="T113" s="37"/>
      <x:c r="U113" s="37"/>
      <x:c r="V113" s="37"/>
      <x:c r="W113" s="34"/>
      <x:c r="X113" s="52"/>
      <x:c r="Y113" s="61" t="str">
        <x:f>IF(A113="","",IF(COUNTIF($A$6:$A$605,A113)&gt;1,"DUPLICADO","OK"))</x:f>
      </x:c>
      <x:c r="Z113" s="61" t="str">
        <x:f>IF(A113="","",IF(C113="","FALTA TÍTULO",IF(E113="","FALTA ÁREA",IF(W113&lt;&gt;"Sí","PENDIENTE","LISTO"))))</x:f>
      </x:c>
    </x:row>
    <x:row r="114">
      <x:c r="A114" s="40"/>
      <x:c r="B114" s="40"/>
      <x:c r="C114" s="37"/>
      <x:c r="D114" s="37"/>
      <x:c r="E114" s="37"/>
      <x:c r="F114" s="43"/>
      <x:c r="G114" s="43"/>
      <x:c r="H114" s="43"/>
      <x:c r="I114" s="55" t="str">
        <x:f>IF(OR(F114="",G114="",H114=""),"",F114&amp;" "&amp;UPPER(G114)&amp;"."&amp;LOWER(H114))</x:f>
      </x:c>
      <x:c r="J114" s="37"/>
      <x:c r="K114" s="37"/>
      <x:c r="L114" s="46"/>
      <x:c r="M114" s="43"/>
      <x:c r="N114" s="43"/>
      <x:c r="O114" s="43"/>
      <x:c r="P114" s="58" t="str">
        <x:f>IF(N114="","","Estantería "&amp;N114&amp;IF(O114="",""," - Balda "&amp;N114&amp;O114))</x:f>
      </x:c>
      <x:c r="Q114" s="37"/>
      <x:c r="R114" s="37"/>
      <x:c r="S114" s="49"/>
      <x:c r="T114" s="37"/>
      <x:c r="U114" s="37"/>
      <x:c r="V114" s="37"/>
      <x:c r="W114" s="34"/>
      <x:c r="X114" s="52"/>
      <x:c r="Y114" s="61" t="str">
        <x:f>IF(A114="","",IF(COUNTIF($A$6:$A$605,A114)&gt;1,"DUPLICADO","OK"))</x:f>
      </x:c>
      <x:c r="Z114" s="61" t="str">
        <x:f>IF(A114="","",IF(C114="","FALTA TÍTULO",IF(E114="","FALTA ÁREA",IF(W114&lt;&gt;"Sí","PENDIENTE","LISTO"))))</x:f>
      </x:c>
    </x:row>
    <x:row r="115">
      <x:c r="A115" s="40"/>
      <x:c r="B115" s="40"/>
      <x:c r="C115" s="37"/>
      <x:c r="D115" s="37"/>
      <x:c r="E115" s="37"/>
      <x:c r="F115" s="43"/>
      <x:c r="G115" s="43"/>
      <x:c r="H115" s="43"/>
      <x:c r="I115" s="55" t="str">
        <x:f>IF(OR(F115="",G115="",H115=""),"",F115&amp;" "&amp;UPPER(G115)&amp;"."&amp;LOWER(H115))</x:f>
      </x:c>
      <x:c r="J115" s="37"/>
      <x:c r="K115" s="37"/>
      <x:c r="L115" s="46"/>
      <x:c r="M115" s="43"/>
      <x:c r="N115" s="43"/>
      <x:c r="O115" s="43"/>
      <x:c r="P115" s="58" t="str">
        <x:f>IF(N115="","","Estantería "&amp;N115&amp;IF(O115="",""," - Balda "&amp;N115&amp;O115))</x:f>
      </x:c>
      <x:c r="Q115" s="37"/>
      <x:c r="R115" s="37"/>
      <x:c r="S115" s="49"/>
      <x:c r="T115" s="37"/>
      <x:c r="U115" s="37"/>
      <x:c r="V115" s="37"/>
      <x:c r="W115" s="34"/>
      <x:c r="X115" s="52"/>
      <x:c r="Y115" s="61" t="str">
        <x:f>IF(A115="","",IF(COUNTIF($A$6:$A$605,A115)&gt;1,"DUPLICADO","OK"))</x:f>
      </x:c>
      <x:c r="Z115" s="61" t="str">
        <x:f>IF(A115="","",IF(C115="","FALTA TÍTULO",IF(E115="","FALTA ÁREA",IF(W115&lt;&gt;"Sí","PENDIENTE","LISTO"))))</x:f>
      </x:c>
    </x:row>
    <x:row r="116">
      <x:c r="A116" s="40"/>
      <x:c r="B116" s="40"/>
      <x:c r="C116" s="37"/>
      <x:c r="D116" s="37"/>
      <x:c r="E116" s="37"/>
      <x:c r="F116" s="43"/>
      <x:c r="G116" s="43"/>
      <x:c r="H116" s="43"/>
      <x:c r="I116" s="55" t="str">
        <x:f>IF(OR(F116="",G116="",H116=""),"",F116&amp;" "&amp;UPPER(G116)&amp;"."&amp;LOWER(H116))</x:f>
      </x:c>
      <x:c r="J116" s="37"/>
      <x:c r="K116" s="37"/>
      <x:c r="L116" s="46"/>
      <x:c r="M116" s="43"/>
      <x:c r="N116" s="43"/>
      <x:c r="O116" s="43"/>
      <x:c r="P116" s="58" t="str">
        <x:f>IF(N116="","","Estantería "&amp;N116&amp;IF(O116="",""," - Balda "&amp;N116&amp;O116))</x:f>
      </x:c>
      <x:c r="Q116" s="37"/>
      <x:c r="R116" s="37"/>
      <x:c r="S116" s="49"/>
      <x:c r="T116" s="37"/>
      <x:c r="U116" s="37"/>
      <x:c r="V116" s="37"/>
      <x:c r="W116" s="34"/>
      <x:c r="X116" s="52"/>
      <x:c r="Y116" s="61" t="str">
        <x:f>IF(A116="","",IF(COUNTIF($A$6:$A$605,A116)&gt;1,"DUPLICADO","OK"))</x:f>
      </x:c>
      <x:c r="Z116" s="61" t="str">
        <x:f>IF(A116="","",IF(C116="","FALTA TÍTULO",IF(E116="","FALTA ÁREA",IF(W116&lt;&gt;"Sí","PENDIENTE","LISTO"))))</x:f>
      </x:c>
    </x:row>
    <x:row r="117">
      <x:c r="A117" s="40"/>
      <x:c r="B117" s="40"/>
      <x:c r="C117" s="37"/>
      <x:c r="D117" s="37"/>
      <x:c r="E117" s="37"/>
      <x:c r="F117" s="43"/>
      <x:c r="G117" s="43"/>
      <x:c r="H117" s="43"/>
      <x:c r="I117" s="55" t="str">
        <x:f>IF(OR(F117="",G117="",H117=""),"",F117&amp;" "&amp;UPPER(G117)&amp;"."&amp;LOWER(H117))</x:f>
      </x:c>
      <x:c r="J117" s="37"/>
      <x:c r="K117" s="37"/>
      <x:c r="L117" s="46"/>
      <x:c r="M117" s="43"/>
      <x:c r="N117" s="43"/>
      <x:c r="O117" s="43"/>
      <x:c r="P117" s="58" t="str">
        <x:f>IF(N117="","","Estantería "&amp;N117&amp;IF(O117="",""," - Balda "&amp;N117&amp;O117))</x:f>
      </x:c>
      <x:c r="Q117" s="37"/>
      <x:c r="R117" s="37"/>
      <x:c r="S117" s="49"/>
      <x:c r="T117" s="37"/>
      <x:c r="U117" s="37"/>
      <x:c r="V117" s="37"/>
      <x:c r="W117" s="34"/>
      <x:c r="X117" s="52"/>
      <x:c r="Y117" s="61" t="str">
        <x:f>IF(A117="","",IF(COUNTIF($A$6:$A$605,A117)&gt;1,"DUPLICADO","OK"))</x:f>
      </x:c>
      <x:c r="Z117" s="61" t="str">
        <x:f>IF(A117="","",IF(C117="","FALTA TÍTULO",IF(E117="","FALTA ÁREA",IF(W117&lt;&gt;"Sí","PENDIENTE","LISTO"))))</x:f>
      </x:c>
    </x:row>
    <x:row r="118">
      <x:c r="A118" s="40"/>
      <x:c r="B118" s="40"/>
      <x:c r="C118" s="37"/>
      <x:c r="D118" s="37"/>
      <x:c r="E118" s="37"/>
      <x:c r="F118" s="43"/>
      <x:c r="G118" s="43"/>
      <x:c r="H118" s="43"/>
      <x:c r="I118" s="55" t="str">
        <x:f>IF(OR(F118="",G118="",H118=""),"",F118&amp;" "&amp;UPPER(G118)&amp;"."&amp;LOWER(H118))</x:f>
      </x:c>
      <x:c r="J118" s="37"/>
      <x:c r="K118" s="37"/>
      <x:c r="L118" s="46"/>
      <x:c r="M118" s="43"/>
      <x:c r="N118" s="43"/>
      <x:c r="O118" s="43"/>
      <x:c r="P118" s="58" t="str">
        <x:f>IF(N118="","","Estantería "&amp;N118&amp;IF(O118="",""," - Balda "&amp;N118&amp;O118))</x:f>
      </x:c>
      <x:c r="Q118" s="37"/>
      <x:c r="R118" s="37"/>
      <x:c r="S118" s="49"/>
      <x:c r="T118" s="37"/>
      <x:c r="U118" s="37"/>
      <x:c r="V118" s="37"/>
      <x:c r="W118" s="34"/>
      <x:c r="X118" s="52"/>
      <x:c r="Y118" s="61" t="str">
        <x:f>IF(A118="","",IF(COUNTIF($A$6:$A$605,A118)&gt;1,"DUPLICADO","OK"))</x:f>
      </x:c>
      <x:c r="Z118" s="61" t="str">
        <x:f>IF(A118="","",IF(C118="","FALTA TÍTULO",IF(E118="","FALTA ÁREA",IF(W118&lt;&gt;"Sí","PENDIENTE","LISTO"))))</x:f>
      </x:c>
    </x:row>
    <x:row r="119">
      <x:c r="A119" s="40"/>
      <x:c r="B119" s="40"/>
      <x:c r="C119" s="37"/>
      <x:c r="D119" s="37"/>
      <x:c r="E119" s="37"/>
      <x:c r="F119" s="43"/>
      <x:c r="G119" s="43"/>
      <x:c r="H119" s="43"/>
      <x:c r="I119" s="55" t="str">
        <x:f>IF(OR(F119="",G119="",H119=""),"",F119&amp;" "&amp;UPPER(G119)&amp;"."&amp;LOWER(H119))</x:f>
      </x:c>
      <x:c r="J119" s="37"/>
      <x:c r="K119" s="37"/>
      <x:c r="L119" s="46"/>
      <x:c r="M119" s="43"/>
      <x:c r="N119" s="43"/>
      <x:c r="O119" s="43"/>
      <x:c r="P119" s="58" t="str">
        <x:f>IF(N119="","","Estantería "&amp;N119&amp;IF(O119="",""," - Balda "&amp;N119&amp;O119))</x:f>
      </x:c>
      <x:c r="Q119" s="37"/>
      <x:c r="R119" s="37"/>
      <x:c r="S119" s="49"/>
      <x:c r="T119" s="37"/>
      <x:c r="U119" s="37"/>
      <x:c r="V119" s="37"/>
      <x:c r="W119" s="34"/>
      <x:c r="X119" s="52"/>
      <x:c r="Y119" s="61" t="str">
        <x:f>IF(A119="","",IF(COUNTIF($A$6:$A$605,A119)&gt;1,"DUPLICADO","OK"))</x:f>
      </x:c>
      <x:c r="Z119" s="61" t="str">
        <x:f>IF(A119="","",IF(C119="","FALTA TÍTULO",IF(E119="","FALTA ÁREA",IF(W119&lt;&gt;"Sí","PENDIENTE","LISTO"))))</x:f>
      </x:c>
    </x:row>
    <x:row r="120">
      <x:c r="A120" s="40"/>
      <x:c r="B120" s="40"/>
      <x:c r="C120" s="37"/>
      <x:c r="D120" s="37"/>
      <x:c r="E120" s="37"/>
      <x:c r="F120" s="43"/>
      <x:c r="G120" s="43"/>
      <x:c r="H120" s="43"/>
      <x:c r="I120" s="55" t="str">
        <x:f>IF(OR(F120="",G120="",H120=""),"",F120&amp;" "&amp;UPPER(G120)&amp;"."&amp;LOWER(H120))</x:f>
      </x:c>
      <x:c r="J120" s="37"/>
      <x:c r="K120" s="37"/>
      <x:c r="L120" s="46"/>
      <x:c r="M120" s="43"/>
      <x:c r="N120" s="43"/>
      <x:c r="O120" s="43"/>
      <x:c r="P120" s="58" t="str">
        <x:f>IF(N120="","","Estantería "&amp;N120&amp;IF(O120="",""," - Balda "&amp;N120&amp;O120))</x:f>
      </x:c>
      <x:c r="Q120" s="37"/>
      <x:c r="R120" s="37"/>
      <x:c r="S120" s="49"/>
      <x:c r="T120" s="37"/>
      <x:c r="U120" s="37"/>
      <x:c r="V120" s="37"/>
      <x:c r="W120" s="34"/>
      <x:c r="X120" s="52"/>
      <x:c r="Y120" s="61" t="str">
        <x:f>IF(A120="","",IF(COUNTIF($A$6:$A$605,A120)&gt;1,"DUPLICADO","OK"))</x:f>
      </x:c>
      <x:c r="Z120" s="61" t="str">
        <x:f>IF(A120="","",IF(C120="","FALTA TÍTULO",IF(E120="","FALTA ÁREA",IF(W120&lt;&gt;"Sí","PENDIENTE","LISTO"))))</x:f>
      </x:c>
    </x:row>
    <x:row r="121">
      <x:c r="A121" s="40"/>
      <x:c r="B121" s="40"/>
      <x:c r="C121" s="37"/>
      <x:c r="D121" s="37"/>
      <x:c r="E121" s="37"/>
      <x:c r="F121" s="43"/>
      <x:c r="G121" s="43"/>
      <x:c r="H121" s="43"/>
      <x:c r="I121" s="55" t="str">
        <x:f>IF(OR(F121="",G121="",H121=""),"",F121&amp;" "&amp;UPPER(G121)&amp;"."&amp;LOWER(H121))</x:f>
      </x:c>
      <x:c r="J121" s="37"/>
      <x:c r="K121" s="37"/>
      <x:c r="L121" s="46"/>
      <x:c r="M121" s="43"/>
      <x:c r="N121" s="43"/>
      <x:c r="O121" s="43"/>
      <x:c r="P121" s="58" t="str">
        <x:f>IF(N121="","","Estantería "&amp;N121&amp;IF(O121="",""," - Balda "&amp;N121&amp;O121))</x:f>
      </x:c>
      <x:c r="Q121" s="37"/>
      <x:c r="R121" s="37"/>
      <x:c r="S121" s="49"/>
      <x:c r="T121" s="37"/>
      <x:c r="U121" s="37"/>
      <x:c r="V121" s="37"/>
      <x:c r="W121" s="34"/>
      <x:c r="X121" s="52"/>
      <x:c r="Y121" s="61" t="str">
        <x:f>IF(A121="","",IF(COUNTIF($A$6:$A$605,A121)&gt;1,"DUPLICADO","OK"))</x:f>
      </x:c>
      <x:c r="Z121" s="61" t="str">
        <x:f>IF(A121="","",IF(C121="","FALTA TÍTULO",IF(E121="","FALTA ÁREA",IF(W121&lt;&gt;"Sí","PENDIENTE","LISTO"))))</x:f>
      </x:c>
    </x:row>
    <x:row r="122">
      <x:c r="A122" s="40"/>
      <x:c r="B122" s="40"/>
      <x:c r="C122" s="37"/>
      <x:c r="D122" s="37"/>
      <x:c r="E122" s="37"/>
      <x:c r="F122" s="43"/>
      <x:c r="G122" s="43"/>
      <x:c r="H122" s="43"/>
      <x:c r="I122" s="55" t="str">
        <x:f>IF(OR(F122="",G122="",H122=""),"",F122&amp;" "&amp;UPPER(G122)&amp;"."&amp;LOWER(H122))</x:f>
      </x:c>
      <x:c r="J122" s="37"/>
      <x:c r="K122" s="37"/>
      <x:c r="L122" s="46"/>
      <x:c r="M122" s="43"/>
      <x:c r="N122" s="43"/>
      <x:c r="O122" s="43"/>
      <x:c r="P122" s="58" t="str">
        <x:f>IF(N122="","","Estantería "&amp;N122&amp;IF(O122="",""," - Balda "&amp;N122&amp;O122))</x:f>
      </x:c>
      <x:c r="Q122" s="37"/>
      <x:c r="R122" s="37"/>
      <x:c r="S122" s="49"/>
      <x:c r="T122" s="37"/>
      <x:c r="U122" s="37"/>
      <x:c r="V122" s="37"/>
      <x:c r="W122" s="34"/>
      <x:c r="X122" s="52"/>
      <x:c r="Y122" s="61" t="str">
        <x:f>IF(A122="","",IF(COUNTIF($A$6:$A$605,A122)&gt;1,"DUPLICADO","OK"))</x:f>
      </x:c>
      <x:c r="Z122" s="61" t="str">
        <x:f>IF(A122="","",IF(C122="","FALTA TÍTULO",IF(E122="","FALTA ÁREA",IF(W122&lt;&gt;"Sí","PENDIENTE","LISTO"))))</x:f>
      </x:c>
    </x:row>
    <x:row r="123">
      <x:c r="A123" s="40"/>
      <x:c r="B123" s="40"/>
      <x:c r="C123" s="37"/>
      <x:c r="D123" s="37"/>
      <x:c r="E123" s="37"/>
      <x:c r="F123" s="43"/>
      <x:c r="G123" s="43"/>
      <x:c r="H123" s="43"/>
      <x:c r="I123" s="55" t="str">
        <x:f>IF(OR(F123="",G123="",H123=""),"",F123&amp;" "&amp;UPPER(G123)&amp;"."&amp;LOWER(H123))</x:f>
      </x:c>
      <x:c r="J123" s="37"/>
      <x:c r="K123" s="37"/>
      <x:c r="L123" s="46"/>
      <x:c r="M123" s="43"/>
      <x:c r="N123" s="43"/>
      <x:c r="O123" s="43"/>
      <x:c r="P123" s="58" t="str">
        <x:f>IF(N123="","","Estantería "&amp;N123&amp;IF(O123="",""," - Balda "&amp;N123&amp;O123))</x:f>
      </x:c>
      <x:c r="Q123" s="37"/>
      <x:c r="R123" s="37"/>
      <x:c r="S123" s="49"/>
      <x:c r="T123" s="37"/>
      <x:c r="U123" s="37"/>
      <x:c r="V123" s="37"/>
      <x:c r="W123" s="34"/>
      <x:c r="X123" s="52"/>
      <x:c r="Y123" s="61" t="str">
        <x:f>IF(A123="","",IF(COUNTIF($A$6:$A$605,A123)&gt;1,"DUPLICADO","OK"))</x:f>
      </x:c>
      <x:c r="Z123" s="61" t="str">
        <x:f>IF(A123="","",IF(C123="","FALTA TÍTULO",IF(E123="","FALTA ÁREA",IF(W123&lt;&gt;"Sí","PENDIENTE","LISTO"))))</x:f>
      </x:c>
    </x:row>
    <x:row r="124">
      <x:c r="A124" s="40"/>
      <x:c r="B124" s="40"/>
      <x:c r="C124" s="37"/>
      <x:c r="D124" s="37"/>
      <x:c r="E124" s="37"/>
      <x:c r="F124" s="43"/>
      <x:c r="G124" s="43"/>
      <x:c r="H124" s="43"/>
      <x:c r="I124" s="55" t="str">
        <x:f>IF(OR(F124="",G124="",H124=""),"",F124&amp;" "&amp;UPPER(G124)&amp;"."&amp;LOWER(H124))</x:f>
      </x:c>
      <x:c r="J124" s="37"/>
      <x:c r="K124" s="37"/>
      <x:c r="L124" s="46"/>
      <x:c r="M124" s="43"/>
      <x:c r="N124" s="43"/>
      <x:c r="O124" s="43"/>
      <x:c r="P124" s="58" t="str">
        <x:f>IF(N124="","","Estantería "&amp;N124&amp;IF(O124="",""," - Balda "&amp;N124&amp;O124))</x:f>
      </x:c>
      <x:c r="Q124" s="37"/>
      <x:c r="R124" s="37"/>
      <x:c r="S124" s="49"/>
      <x:c r="T124" s="37"/>
      <x:c r="U124" s="37"/>
      <x:c r="V124" s="37"/>
      <x:c r="W124" s="34"/>
      <x:c r="X124" s="52"/>
      <x:c r="Y124" s="61" t="str">
        <x:f>IF(A124="","",IF(COUNTIF($A$6:$A$605,A124)&gt;1,"DUPLICADO","OK"))</x:f>
      </x:c>
      <x:c r="Z124" s="61" t="str">
        <x:f>IF(A124="","",IF(C124="","FALTA TÍTULO",IF(E124="","FALTA ÁREA",IF(W124&lt;&gt;"Sí","PENDIENTE","LISTO"))))</x:f>
      </x:c>
    </x:row>
    <x:row r="125">
      <x:c r="A125" s="40"/>
      <x:c r="B125" s="40"/>
      <x:c r="C125" s="37"/>
      <x:c r="D125" s="37"/>
      <x:c r="E125" s="37"/>
      <x:c r="F125" s="43"/>
      <x:c r="G125" s="43"/>
      <x:c r="H125" s="43"/>
      <x:c r="I125" s="55" t="str">
        <x:f>IF(OR(F125="",G125="",H125=""),"",F125&amp;" "&amp;UPPER(G125)&amp;"."&amp;LOWER(H125))</x:f>
      </x:c>
      <x:c r="J125" s="37"/>
      <x:c r="K125" s="37"/>
      <x:c r="L125" s="46"/>
      <x:c r="M125" s="43"/>
      <x:c r="N125" s="43"/>
      <x:c r="O125" s="43"/>
      <x:c r="P125" s="58" t="str">
        <x:f>IF(N125="","","Estantería "&amp;N125&amp;IF(O125="",""," - Balda "&amp;N125&amp;O125))</x:f>
      </x:c>
      <x:c r="Q125" s="37"/>
      <x:c r="R125" s="37"/>
      <x:c r="S125" s="49"/>
      <x:c r="T125" s="37"/>
      <x:c r="U125" s="37"/>
      <x:c r="V125" s="37"/>
      <x:c r="W125" s="34"/>
      <x:c r="X125" s="52"/>
      <x:c r="Y125" s="61" t="str">
        <x:f>IF(A125="","",IF(COUNTIF($A$6:$A$605,A125)&gt;1,"DUPLICADO","OK"))</x:f>
      </x:c>
      <x:c r="Z125" s="61" t="str">
        <x:f>IF(A125="","",IF(C125="","FALTA TÍTULO",IF(E125="","FALTA ÁREA",IF(W125&lt;&gt;"Sí","PENDIENTE","LISTO"))))</x:f>
      </x:c>
    </x:row>
    <x:row r="126">
      <x:c r="A126" s="40"/>
      <x:c r="B126" s="40"/>
      <x:c r="C126" s="37"/>
      <x:c r="D126" s="37"/>
      <x:c r="E126" s="37"/>
      <x:c r="F126" s="43"/>
      <x:c r="G126" s="43"/>
      <x:c r="H126" s="43"/>
      <x:c r="I126" s="55" t="str">
        <x:f>IF(OR(F126="",G126="",H126=""),"",F126&amp;" "&amp;UPPER(G126)&amp;"."&amp;LOWER(H126))</x:f>
      </x:c>
      <x:c r="J126" s="37"/>
      <x:c r="K126" s="37"/>
      <x:c r="L126" s="46"/>
      <x:c r="M126" s="43"/>
      <x:c r="N126" s="43"/>
      <x:c r="O126" s="43"/>
      <x:c r="P126" s="58" t="str">
        <x:f>IF(N126="","","Estantería "&amp;N126&amp;IF(O126="",""," - Balda "&amp;N126&amp;O126))</x:f>
      </x:c>
      <x:c r="Q126" s="37"/>
      <x:c r="R126" s="37"/>
      <x:c r="S126" s="49"/>
      <x:c r="T126" s="37"/>
      <x:c r="U126" s="37"/>
      <x:c r="V126" s="37"/>
      <x:c r="W126" s="34"/>
      <x:c r="X126" s="52"/>
      <x:c r="Y126" s="61" t="str">
        <x:f>IF(A126="","",IF(COUNTIF($A$6:$A$605,A126)&gt;1,"DUPLICADO","OK"))</x:f>
      </x:c>
      <x:c r="Z126" s="61" t="str">
        <x:f>IF(A126="","",IF(C126="","FALTA TÍTULO",IF(E126="","FALTA ÁREA",IF(W126&lt;&gt;"Sí","PENDIENTE","LISTO"))))</x:f>
      </x:c>
    </x:row>
    <x:row r="127">
      <x:c r="A127" s="40"/>
      <x:c r="B127" s="40"/>
      <x:c r="C127" s="37"/>
      <x:c r="D127" s="37"/>
      <x:c r="E127" s="37"/>
      <x:c r="F127" s="43"/>
      <x:c r="G127" s="43"/>
      <x:c r="H127" s="43"/>
      <x:c r="I127" s="55" t="str">
        <x:f>IF(OR(F127="",G127="",H127=""),"",F127&amp;" "&amp;UPPER(G127)&amp;"."&amp;LOWER(H127))</x:f>
      </x:c>
      <x:c r="J127" s="37"/>
      <x:c r="K127" s="37"/>
      <x:c r="L127" s="46"/>
      <x:c r="M127" s="43"/>
      <x:c r="N127" s="43"/>
      <x:c r="O127" s="43"/>
      <x:c r="P127" s="58" t="str">
        <x:f>IF(N127="","","Estantería "&amp;N127&amp;IF(O127="",""," - Balda "&amp;N127&amp;O127))</x:f>
      </x:c>
      <x:c r="Q127" s="37"/>
      <x:c r="R127" s="37"/>
      <x:c r="S127" s="49"/>
      <x:c r="T127" s="37"/>
      <x:c r="U127" s="37"/>
      <x:c r="V127" s="37"/>
      <x:c r="W127" s="34"/>
      <x:c r="X127" s="52"/>
      <x:c r="Y127" s="61" t="str">
        <x:f>IF(A127="","",IF(COUNTIF($A$6:$A$605,A127)&gt;1,"DUPLICADO","OK"))</x:f>
      </x:c>
      <x:c r="Z127" s="61" t="str">
        <x:f>IF(A127="","",IF(C127="","FALTA TÍTULO",IF(E127="","FALTA ÁREA",IF(W127&lt;&gt;"Sí","PENDIENTE","LISTO"))))</x:f>
      </x:c>
    </x:row>
    <x:row r="128">
      <x:c r="A128" s="40"/>
      <x:c r="B128" s="40"/>
      <x:c r="C128" s="37"/>
      <x:c r="D128" s="37"/>
      <x:c r="E128" s="37"/>
      <x:c r="F128" s="43"/>
      <x:c r="G128" s="43"/>
      <x:c r="H128" s="43"/>
      <x:c r="I128" s="55" t="str">
        <x:f>IF(OR(F128="",G128="",H128=""),"",F128&amp;" "&amp;UPPER(G128)&amp;"."&amp;LOWER(H128))</x:f>
      </x:c>
      <x:c r="J128" s="37"/>
      <x:c r="K128" s="37"/>
      <x:c r="L128" s="46"/>
      <x:c r="M128" s="43"/>
      <x:c r="N128" s="43"/>
      <x:c r="O128" s="43"/>
      <x:c r="P128" s="58" t="str">
        <x:f>IF(N128="","","Estantería "&amp;N128&amp;IF(O128="",""," - Balda "&amp;N128&amp;O128))</x:f>
      </x:c>
      <x:c r="Q128" s="37"/>
      <x:c r="R128" s="37"/>
      <x:c r="S128" s="49"/>
      <x:c r="T128" s="37"/>
      <x:c r="U128" s="37"/>
      <x:c r="V128" s="37"/>
      <x:c r="W128" s="34"/>
      <x:c r="X128" s="52"/>
      <x:c r="Y128" s="61" t="str">
        <x:f>IF(A128="","",IF(COUNTIF($A$6:$A$605,A128)&gt;1,"DUPLICADO","OK"))</x:f>
      </x:c>
      <x:c r="Z128" s="61" t="str">
        <x:f>IF(A128="","",IF(C128="","FALTA TÍTULO",IF(E128="","FALTA ÁREA",IF(W128&lt;&gt;"Sí","PENDIENTE","LISTO"))))</x:f>
      </x:c>
    </x:row>
    <x:row r="129">
      <x:c r="A129" s="40"/>
      <x:c r="B129" s="40"/>
      <x:c r="C129" s="37"/>
      <x:c r="D129" s="37"/>
      <x:c r="E129" s="37"/>
      <x:c r="F129" s="43"/>
      <x:c r="G129" s="43"/>
      <x:c r="H129" s="43"/>
      <x:c r="I129" s="55" t="str">
        <x:f>IF(OR(F129="",G129="",H129=""),"",F129&amp;" "&amp;UPPER(G129)&amp;"."&amp;LOWER(H129))</x:f>
      </x:c>
      <x:c r="J129" s="37"/>
      <x:c r="K129" s="37"/>
      <x:c r="L129" s="46"/>
      <x:c r="M129" s="43"/>
      <x:c r="N129" s="43"/>
      <x:c r="O129" s="43"/>
      <x:c r="P129" s="58" t="str">
        <x:f>IF(N129="","","Estantería "&amp;N129&amp;IF(O129="",""," - Balda "&amp;N129&amp;O129))</x:f>
      </x:c>
      <x:c r="Q129" s="37"/>
      <x:c r="R129" s="37"/>
      <x:c r="S129" s="49"/>
      <x:c r="T129" s="37"/>
      <x:c r="U129" s="37"/>
      <x:c r="V129" s="37"/>
      <x:c r="W129" s="34"/>
      <x:c r="X129" s="52"/>
      <x:c r="Y129" s="61" t="str">
        <x:f>IF(A129="","",IF(COUNTIF($A$6:$A$605,A129)&gt;1,"DUPLICADO","OK"))</x:f>
      </x:c>
      <x:c r="Z129" s="61" t="str">
        <x:f>IF(A129="","",IF(C129="","FALTA TÍTULO",IF(E129="","FALTA ÁREA",IF(W129&lt;&gt;"Sí","PENDIENTE","LISTO"))))</x:f>
      </x:c>
    </x:row>
    <x:row r="130">
      <x:c r="A130" s="40"/>
      <x:c r="B130" s="40"/>
      <x:c r="C130" s="37"/>
      <x:c r="D130" s="37"/>
      <x:c r="E130" s="37"/>
      <x:c r="F130" s="43"/>
      <x:c r="G130" s="43"/>
      <x:c r="H130" s="43"/>
      <x:c r="I130" s="55" t="str">
        <x:f>IF(OR(F130="",G130="",H130=""),"",F130&amp;" "&amp;UPPER(G130)&amp;"."&amp;LOWER(H130))</x:f>
      </x:c>
      <x:c r="J130" s="37"/>
      <x:c r="K130" s="37"/>
      <x:c r="L130" s="46"/>
      <x:c r="M130" s="43"/>
      <x:c r="N130" s="43"/>
      <x:c r="O130" s="43"/>
      <x:c r="P130" s="58" t="str">
        <x:f>IF(N130="","","Estantería "&amp;N130&amp;IF(O130="",""," - Balda "&amp;N130&amp;O130))</x:f>
      </x:c>
      <x:c r="Q130" s="37"/>
      <x:c r="R130" s="37"/>
      <x:c r="S130" s="49"/>
      <x:c r="T130" s="37"/>
      <x:c r="U130" s="37"/>
      <x:c r="V130" s="37"/>
      <x:c r="W130" s="34"/>
      <x:c r="X130" s="52"/>
      <x:c r="Y130" s="61" t="str">
        <x:f>IF(A130="","",IF(COUNTIF($A$6:$A$605,A130)&gt;1,"DUPLICADO","OK"))</x:f>
      </x:c>
      <x:c r="Z130" s="61" t="str">
        <x:f>IF(A130="","",IF(C130="","FALTA TÍTULO",IF(E130="","FALTA ÁREA",IF(W130&lt;&gt;"Sí","PENDIENTE","LISTO"))))</x:f>
      </x:c>
    </x:row>
    <x:row r="131">
      <x:c r="A131" s="40"/>
      <x:c r="B131" s="40"/>
      <x:c r="C131" s="37"/>
      <x:c r="D131" s="37"/>
      <x:c r="E131" s="37"/>
      <x:c r="F131" s="43"/>
      <x:c r="G131" s="43"/>
      <x:c r="H131" s="43"/>
      <x:c r="I131" s="55" t="str">
        <x:f>IF(OR(F131="",G131="",H131=""),"",F131&amp;" "&amp;UPPER(G131)&amp;"."&amp;LOWER(H131))</x:f>
      </x:c>
      <x:c r="J131" s="37"/>
      <x:c r="K131" s="37"/>
      <x:c r="L131" s="46"/>
      <x:c r="M131" s="43"/>
      <x:c r="N131" s="43"/>
      <x:c r="O131" s="43"/>
      <x:c r="P131" s="58" t="str">
        <x:f>IF(N131="","","Estantería "&amp;N131&amp;IF(O131="",""," - Balda "&amp;N131&amp;O131))</x:f>
      </x:c>
      <x:c r="Q131" s="37"/>
      <x:c r="R131" s="37"/>
      <x:c r="S131" s="49"/>
      <x:c r="T131" s="37"/>
      <x:c r="U131" s="37"/>
      <x:c r="V131" s="37"/>
      <x:c r="W131" s="34"/>
      <x:c r="X131" s="52"/>
      <x:c r="Y131" s="61" t="str">
        <x:f>IF(A131="","",IF(COUNTIF($A$6:$A$605,A131)&gt;1,"DUPLICADO","OK"))</x:f>
      </x:c>
      <x:c r="Z131" s="61" t="str">
        <x:f>IF(A131="","",IF(C131="","FALTA TÍTULO",IF(E131="","FALTA ÁREA",IF(W131&lt;&gt;"Sí","PENDIENTE","LISTO"))))</x:f>
      </x:c>
    </x:row>
    <x:row r="132">
      <x:c r="A132" s="40"/>
      <x:c r="B132" s="40"/>
      <x:c r="C132" s="37"/>
      <x:c r="D132" s="37"/>
      <x:c r="E132" s="37"/>
      <x:c r="F132" s="43"/>
      <x:c r="G132" s="43"/>
      <x:c r="H132" s="43"/>
      <x:c r="I132" s="55" t="str">
        <x:f>IF(OR(F132="",G132="",H132=""),"",F132&amp;" "&amp;UPPER(G132)&amp;"."&amp;LOWER(H132))</x:f>
      </x:c>
      <x:c r="J132" s="37"/>
      <x:c r="K132" s="37"/>
      <x:c r="L132" s="46"/>
      <x:c r="M132" s="43"/>
      <x:c r="N132" s="43"/>
      <x:c r="O132" s="43"/>
      <x:c r="P132" s="58" t="str">
        <x:f>IF(N132="","","Estantería "&amp;N132&amp;IF(O132="",""," - Balda "&amp;N132&amp;O132))</x:f>
      </x:c>
      <x:c r="Q132" s="37"/>
      <x:c r="R132" s="37"/>
      <x:c r="S132" s="49"/>
      <x:c r="T132" s="37"/>
      <x:c r="U132" s="37"/>
      <x:c r="V132" s="37"/>
      <x:c r="W132" s="34"/>
      <x:c r="X132" s="52"/>
      <x:c r="Y132" s="61" t="str">
        <x:f>IF(A132="","",IF(COUNTIF($A$6:$A$605,A132)&gt;1,"DUPLICADO","OK"))</x:f>
      </x:c>
      <x:c r="Z132" s="61" t="str">
        <x:f>IF(A132="","",IF(C132="","FALTA TÍTULO",IF(E132="","FALTA ÁREA",IF(W132&lt;&gt;"Sí","PENDIENTE","LISTO"))))</x:f>
      </x:c>
    </x:row>
    <x:row r="133">
      <x:c r="A133" s="40"/>
      <x:c r="B133" s="40"/>
      <x:c r="C133" s="37"/>
      <x:c r="D133" s="37"/>
      <x:c r="E133" s="37"/>
      <x:c r="F133" s="43"/>
      <x:c r="G133" s="43"/>
      <x:c r="H133" s="43"/>
      <x:c r="I133" s="55" t="str">
        <x:f>IF(OR(F133="",G133="",H133=""),"",F133&amp;" "&amp;UPPER(G133)&amp;"."&amp;LOWER(H133))</x:f>
      </x:c>
      <x:c r="J133" s="37"/>
      <x:c r="K133" s="37"/>
      <x:c r="L133" s="46"/>
      <x:c r="M133" s="43"/>
      <x:c r="N133" s="43"/>
      <x:c r="O133" s="43"/>
      <x:c r="P133" s="58" t="str">
        <x:f>IF(N133="","","Estantería "&amp;N133&amp;IF(O133="",""," - Balda "&amp;N133&amp;O133))</x:f>
      </x:c>
      <x:c r="Q133" s="37"/>
      <x:c r="R133" s="37"/>
      <x:c r="S133" s="49"/>
      <x:c r="T133" s="37"/>
      <x:c r="U133" s="37"/>
      <x:c r="V133" s="37"/>
      <x:c r="W133" s="34"/>
      <x:c r="X133" s="52"/>
      <x:c r="Y133" s="61" t="str">
        <x:f>IF(A133="","",IF(COUNTIF($A$6:$A$605,A133)&gt;1,"DUPLICADO","OK"))</x:f>
      </x:c>
      <x:c r="Z133" s="61" t="str">
        <x:f>IF(A133="","",IF(C133="","FALTA TÍTULO",IF(E133="","FALTA ÁREA",IF(W133&lt;&gt;"Sí","PENDIENTE","LISTO"))))</x:f>
      </x:c>
    </x:row>
    <x:row r="134">
      <x:c r="A134" s="40"/>
      <x:c r="B134" s="40"/>
      <x:c r="C134" s="37"/>
      <x:c r="D134" s="37"/>
      <x:c r="E134" s="37"/>
      <x:c r="F134" s="43"/>
      <x:c r="G134" s="43"/>
      <x:c r="H134" s="43"/>
      <x:c r="I134" s="55" t="str">
        <x:f>IF(OR(F134="",G134="",H134=""),"",F134&amp;" "&amp;UPPER(G134)&amp;"."&amp;LOWER(H134))</x:f>
      </x:c>
      <x:c r="J134" s="37"/>
      <x:c r="K134" s="37"/>
      <x:c r="L134" s="46"/>
      <x:c r="M134" s="43"/>
      <x:c r="N134" s="43"/>
      <x:c r="O134" s="43"/>
      <x:c r="P134" s="58" t="str">
        <x:f>IF(N134="","","Estantería "&amp;N134&amp;IF(O134="",""," - Balda "&amp;N134&amp;O134))</x:f>
      </x:c>
      <x:c r="Q134" s="37"/>
      <x:c r="R134" s="37"/>
      <x:c r="S134" s="49"/>
      <x:c r="T134" s="37"/>
      <x:c r="U134" s="37"/>
      <x:c r="V134" s="37"/>
      <x:c r="W134" s="34"/>
      <x:c r="X134" s="52"/>
      <x:c r="Y134" s="61" t="str">
        <x:f>IF(A134="","",IF(COUNTIF($A$6:$A$605,A134)&gt;1,"DUPLICADO","OK"))</x:f>
      </x:c>
      <x:c r="Z134" s="61" t="str">
        <x:f>IF(A134="","",IF(C134="","FALTA TÍTULO",IF(E134="","FALTA ÁREA",IF(W134&lt;&gt;"Sí","PENDIENTE","LISTO"))))</x:f>
      </x:c>
    </x:row>
    <x:row r="135">
      <x:c r="A135" s="40"/>
      <x:c r="B135" s="40"/>
      <x:c r="C135" s="37"/>
      <x:c r="D135" s="37"/>
      <x:c r="E135" s="37"/>
      <x:c r="F135" s="43"/>
      <x:c r="G135" s="43"/>
      <x:c r="H135" s="43"/>
      <x:c r="I135" s="55" t="str">
        <x:f>IF(OR(F135="",G135="",H135=""),"",F135&amp;" "&amp;UPPER(G135)&amp;"."&amp;LOWER(H135))</x:f>
      </x:c>
      <x:c r="J135" s="37"/>
      <x:c r="K135" s="37"/>
      <x:c r="L135" s="46"/>
      <x:c r="M135" s="43"/>
      <x:c r="N135" s="43"/>
      <x:c r="O135" s="43"/>
      <x:c r="P135" s="58" t="str">
        <x:f>IF(N135="","","Estantería "&amp;N135&amp;IF(O135="",""," - Balda "&amp;N135&amp;O135))</x:f>
      </x:c>
      <x:c r="Q135" s="37"/>
      <x:c r="R135" s="37"/>
      <x:c r="S135" s="49"/>
      <x:c r="T135" s="37"/>
      <x:c r="U135" s="37"/>
      <x:c r="V135" s="37"/>
      <x:c r="W135" s="34"/>
      <x:c r="X135" s="52"/>
      <x:c r="Y135" s="61" t="str">
        <x:f>IF(A135="","",IF(COUNTIF($A$6:$A$605,A135)&gt;1,"DUPLICADO","OK"))</x:f>
      </x:c>
      <x:c r="Z135" s="61" t="str">
        <x:f>IF(A135="","",IF(C135="","FALTA TÍTULO",IF(E135="","FALTA ÁREA",IF(W135&lt;&gt;"Sí","PENDIENTE","LISTO"))))</x:f>
      </x:c>
    </x:row>
    <x:row r="136">
      <x:c r="A136" s="40"/>
      <x:c r="B136" s="40"/>
      <x:c r="C136" s="37"/>
      <x:c r="D136" s="37"/>
      <x:c r="E136" s="37"/>
      <x:c r="F136" s="43"/>
      <x:c r="G136" s="43"/>
      <x:c r="H136" s="43"/>
      <x:c r="I136" s="55" t="str">
        <x:f>IF(OR(F136="",G136="",H136=""),"",F136&amp;" "&amp;UPPER(G136)&amp;"."&amp;LOWER(H136))</x:f>
      </x:c>
      <x:c r="J136" s="37"/>
      <x:c r="K136" s="37"/>
      <x:c r="L136" s="46"/>
      <x:c r="M136" s="43"/>
      <x:c r="N136" s="43"/>
      <x:c r="O136" s="43"/>
      <x:c r="P136" s="58" t="str">
        <x:f>IF(N136="","","Estantería "&amp;N136&amp;IF(O136="",""," - Balda "&amp;N136&amp;O136))</x:f>
      </x:c>
      <x:c r="Q136" s="37"/>
      <x:c r="R136" s="37"/>
      <x:c r="S136" s="49"/>
      <x:c r="T136" s="37"/>
      <x:c r="U136" s="37"/>
      <x:c r="V136" s="37"/>
      <x:c r="W136" s="34"/>
      <x:c r="X136" s="52"/>
      <x:c r="Y136" s="61" t="str">
        <x:f>IF(A136="","",IF(COUNTIF($A$6:$A$605,A136)&gt;1,"DUPLICADO","OK"))</x:f>
      </x:c>
      <x:c r="Z136" s="61" t="str">
        <x:f>IF(A136="","",IF(C136="","FALTA TÍTULO",IF(E136="","FALTA ÁREA",IF(W136&lt;&gt;"Sí","PENDIENTE","LISTO"))))</x:f>
      </x:c>
    </x:row>
    <x:row r="137">
      <x:c r="A137" s="40"/>
      <x:c r="B137" s="40"/>
      <x:c r="C137" s="37"/>
      <x:c r="D137" s="37"/>
      <x:c r="E137" s="37"/>
      <x:c r="F137" s="43"/>
      <x:c r="G137" s="43"/>
      <x:c r="H137" s="43"/>
      <x:c r="I137" s="55" t="str">
        <x:f>IF(OR(F137="",G137="",H137=""),"",F137&amp;" "&amp;UPPER(G137)&amp;"."&amp;LOWER(H137))</x:f>
      </x:c>
      <x:c r="J137" s="37"/>
      <x:c r="K137" s="37"/>
      <x:c r="L137" s="46"/>
      <x:c r="M137" s="43"/>
      <x:c r="N137" s="43"/>
      <x:c r="O137" s="43"/>
      <x:c r="P137" s="58" t="str">
        <x:f>IF(N137="","","Estantería "&amp;N137&amp;IF(O137="",""," - Balda "&amp;N137&amp;O137))</x:f>
      </x:c>
      <x:c r="Q137" s="37"/>
      <x:c r="R137" s="37"/>
      <x:c r="S137" s="49"/>
      <x:c r="T137" s="37"/>
      <x:c r="U137" s="37"/>
      <x:c r="V137" s="37"/>
      <x:c r="W137" s="34"/>
      <x:c r="X137" s="52"/>
      <x:c r="Y137" s="61" t="str">
        <x:f>IF(A137="","",IF(COUNTIF($A$6:$A$605,A137)&gt;1,"DUPLICADO","OK"))</x:f>
      </x:c>
      <x:c r="Z137" s="61" t="str">
        <x:f>IF(A137="","",IF(C137="","FALTA TÍTULO",IF(E137="","FALTA ÁREA",IF(W137&lt;&gt;"Sí","PENDIENTE","LISTO"))))</x:f>
      </x:c>
    </x:row>
    <x:row r="138">
      <x:c r="A138" s="40"/>
      <x:c r="B138" s="40"/>
      <x:c r="C138" s="37"/>
      <x:c r="D138" s="37"/>
      <x:c r="E138" s="37"/>
      <x:c r="F138" s="43"/>
      <x:c r="G138" s="43"/>
      <x:c r="H138" s="43"/>
      <x:c r="I138" s="55" t="str">
        <x:f>IF(OR(F138="",G138="",H138=""),"",F138&amp;" "&amp;UPPER(G138)&amp;"."&amp;LOWER(H138))</x:f>
      </x:c>
      <x:c r="J138" s="37"/>
      <x:c r="K138" s="37"/>
      <x:c r="L138" s="46"/>
      <x:c r="M138" s="43"/>
      <x:c r="N138" s="43"/>
      <x:c r="O138" s="43"/>
      <x:c r="P138" s="58" t="str">
        <x:f>IF(N138="","","Estantería "&amp;N138&amp;IF(O138="",""," - Balda "&amp;N138&amp;O138))</x:f>
      </x:c>
      <x:c r="Q138" s="37"/>
      <x:c r="R138" s="37"/>
      <x:c r="S138" s="49"/>
      <x:c r="T138" s="37"/>
      <x:c r="U138" s="37"/>
      <x:c r="V138" s="37"/>
      <x:c r="W138" s="34"/>
      <x:c r="X138" s="52"/>
      <x:c r="Y138" s="61" t="str">
        <x:f>IF(A138="","",IF(COUNTIF($A$6:$A$605,A138)&gt;1,"DUPLICADO","OK"))</x:f>
      </x:c>
      <x:c r="Z138" s="61" t="str">
        <x:f>IF(A138="","",IF(C138="","FALTA TÍTULO",IF(E138="","FALTA ÁREA",IF(W138&lt;&gt;"Sí","PENDIENTE","LISTO"))))</x:f>
      </x:c>
    </x:row>
    <x:row r="139">
      <x:c r="A139" s="40"/>
      <x:c r="B139" s="40"/>
      <x:c r="C139" s="37"/>
      <x:c r="D139" s="37"/>
      <x:c r="E139" s="37"/>
      <x:c r="F139" s="43"/>
      <x:c r="G139" s="43"/>
      <x:c r="H139" s="43"/>
      <x:c r="I139" s="55" t="str">
        <x:f>IF(OR(F139="",G139="",H139=""),"",F139&amp;" "&amp;UPPER(G139)&amp;"."&amp;LOWER(H139))</x:f>
      </x:c>
      <x:c r="J139" s="37"/>
      <x:c r="K139" s="37"/>
      <x:c r="L139" s="46"/>
      <x:c r="M139" s="43"/>
      <x:c r="N139" s="43"/>
      <x:c r="O139" s="43"/>
      <x:c r="P139" s="58" t="str">
        <x:f>IF(N139="","","Estantería "&amp;N139&amp;IF(O139="",""," - Balda "&amp;N139&amp;O139))</x:f>
      </x:c>
      <x:c r="Q139" s="37"/>
      <x:c r="R139" s="37"/>
      <x:c r="S139" s="49"/>
      <x:c r="T139" s="37"/>
      <x:c r="U139" s="37"/>
      <x:c r="V139" s="37"/>
      <x:c r="W139" s="34"/>
      <x:c r="X139" s="52"/>
      <x:c r="Y139" s="61" t="str">
        <x:f>IF(A139="","",IF(COUNTIF($A$6:$A$605,A139)&gt;1,"DUPLICADO","OK"))</x:f>
      </x:c>
      <x:c r="Z139" s="61" t="str">
        <x:f>IF(A139="","",IF(C139="","FALTA TÍTULO",IF(E139="","FALTA ÁREA",IF(W139&lt;&gt;"Sí","PENDIENTE","LISTO"))))</x:f>
      </x:c>
    </x:row>
    <x:row r="140">
      <x:c r="A140" s="40"/>
      <x:c r="B140" s="40"/>
      <x:c r="C140" s="37"/>
      <x:c r="D140" s="37"/>
      <x:c r="E140" s="37"/>
      <x:c r="F140" s="43"/>
      <x:c r="G140" s="43"/>
      <x:c r="H140" s="43"/>
      <x:c r="I140" s="55" t="str">
        <x:f>IF(OR(F140="",G140="",H140=""),"",F140&amp;" "&amp;UPPER(G140)&amp;"."&amp;LOWER(H140))</x:f>
      </x:c>
      <x:c r="J140" s="37"/>
      <x:c r="K140" s="37"/>
      <x:c r="L140" s="46"/>
      <x:c r="M140" s="43"/>
      <x:c r="N140" s="43"/>
      <x:c r="O140" s="43"/>
      <x:c r="P140" s="58" t="str">
        <x:f>IF(N140="","","Estantería "&amp;N140&amp;IF(O140="",""," - Balda "&amp;N140&amp;O140))</x:f>
      </x:c>
      <x:c r="Q140" s="37"/>
      <x:c r="R140" s="37"/>
      <x:c r="S140" s="49"/>
      <x:c r="T140" s="37"/>
      <x:c r="U140" s="37"/>
      <x:c r="V140" s="37"/>
      <x:c r="W140" s="34"/>
      <x:c r="X140" s="52"/>
      <x:c r="Y140" s="61" t="str">
        <x:f>IF(A140="","",IF(COUNTIF($A$6:$A$605,A140)&gt;1,"DUPLICADO","OK"))</x:f>
      </x:c>
      <x:c r="Z140" s="61" t="str">
        <x:f>IF(A140="","",IF(C140="","FALTA TÍTULO",IF(E140="","FALTA ÁREA",IF(W140&lt;&gt;"Sí","PENDIENTE","LISTO"))))</x:f>
      </x:c>
    </x:row>
    <x:row r="141">
      <x:c r="A141" s="40"/>
      <x:c r="B141" s="40"/>
      <x:c r="C141" s="37"/>
      <x:c r="D141" s="37"/>
      <x:c r="E141" s="37"/>
      <x:c r="F141" s="43"/>
      <x:c r="G141" s="43"/>
      <x:c r="H141" s="43"/>
      <x:c r="I141" s="55" t="str">
        <x:f>IF(OR(F141="",G141="",H141=""),"",F141&amp;" "&amp;UPPER(G141)&amp;"."&amp;LOWER(H141))</x:f>
      </x:c>
      <x:c r="J141" s="37"/>
      <x:c r="K141" s="37"/>
      <x:c r="L141" s="46"/>
      <x:c r="M141" s="43"/>
      <x:c r="N141" s="43"/>
      <x:c r="O141" s="43"/>
      <x:c r="P141" s="58" t="str">
        <x:f>IF(N141="","","Estantería "&amp;N141&amp;IF(O141="",""," - Balda "&amp;N141&amp;O141))</x:f>
      </x:c>
      <x:c r="Q141" s="37"/>
      <x:c r="R141" s="37"/>
      <x:c r="S141" s="49"/>
      <x:c r="T141" s="37"/>
      <x:c r="U141" s="37"/>
      <x:c r="V141" s="37"/>
      <x:c r="W141" s="34"/>
      <x:c r="X141" s="52"/>
      <x:c r="Y141" s="61" t="str">
        <x:f>IF(A141="","",IF(COUNTIF($A$6:$A$605,A141)&gt;1,"DUPLICADO","OK"))</x:f>
      </x:c>
      <x:c r="Z141" s="61" t="str">
        <x:f>IF(A141="","",IF(C141="","FALTA TÍTULO",IF(E141="","FALTA ÁREA",IF(W141&lt;&gt;"Sí","PENDIENTE","LISTO"))))</x:f>
      </x:c>
    </x:row>
    <x:row r="142">
      <x:c r="A142" s="40"/>
      <x:c r="B142" s="40"/>
      <x:c r="C142" s="37"/>
      <x:c r="D142" s="37"/>
      <x:c r="E142" s="37"/>
      <x:c r="F142" s="43"/>
      <x:c r="G142" s="43"/>
      <x:c r="H142" s="43"/>
      <x:c r="I142" s="55" t="str">
        <x:f>IF(OR(F142="",G142="",H142=""),"",F142&amp;" "&amp;UPPER(G142)&amp;"."&amp;LOWER(H142))</x:f>
      </x:c>
      <x:c r="J142" s="37"/>
      <x:c r="K142" s="37"/>
      <x:c r="L142" s="46"/>
      <x:c r="M142" s="43"/>
      <x:c r="N142" s="43"/>
      <x:c r="O142" s="43"/>
      <x:c r="P142" s="58" t="str">
        <x:f>IF(N142="","","Estantería "&amp;N142&amp;IF(O142="",""," - Balda "&amp;N142&amp;O142))</x:f>
      </x:c>
      <x:c r="Q142" s="37"/>
      <x:c r="R142" s="37"/>
      <x:c r="S142" s="49"/>
      <x:c r="T142" s="37"/>
      <x:c r="U142" s="37"/>
      <x:c r="V142" s="37"/>
      <x:c r="W142" s="34"/>
      <x:c r="X142" s="52"/>
      <x:c r="Y142" s="61" t="str">
        <x:f>IF(A142="","",IF(COUNTIF($A$6:$A$605,A142)&gt;1,"DUPLICADO","OK"))</x:f>
      </x:c>
      <x:c r="Z142" s="61" t="str">
        <x:f>IF(A142="","",IF(C142="","FALTA TÍTULO",IF(E142="","FALTA ÁREA",IF(W142&lt;&gt;"Sí","PENDIENTE","LISTO"))))</x:f>
      </x:c>
    </x:row>
    <x:row r="143">
      <x:c r="A143" s="40"/>
      <x:c r="B143" s="40"/>
      <x:c r="C143" s="37"/>
      <x:c r="D143" s="37"/>
      <x:c r="E143" s="37"/>
      <x:c r="F143" s="43"/>
      <x:c r="G143" s="43"/>
      <x:c r="H143" s="43"/>
      <x:c r="I143" s="55" t="str">
        <x:f>IF(OR(F143="",G143="",H143=""),"",F143&amp;" "&amp;UPPER(G143)&amp;"."&amp;LOWER(H143))</x:f>
      </x:c>
      <x:c r="J143" s="37"/>
      <x:c r="K143" s="37"/>
      <x:c r="L143" s="46"/>
      <x:c r="M143" s="43"/>
      <x:c r="N143" s="43"/>
      <x:c r="O143" s="43"/>
      <x:c r="P143" s="58" t="str">
        <x:f>IF(N143="","","Estantería "&amp;N143&amp;IF(O143="",""," - Balda "&amp;N143&amp;O143))</x:f>
      </x:c>
      <x:c r="Q143" s="37"/>
      <x:c r="R143" s="37"/>
      <x:c r="S143" s="49"/>
      <x:c r="T143" s="37"/>
      <x:c r="U143" s="37"/>
      <x:c r="V143" s="37"/>
      <x:c r="W143" s="34"/>
      <x:c r="X143" s="52"/>
      <x:c r="Y143" s="61" t="str">
        <x:f>IF(A143="","",IF(COUNTIF($A$6:$A$605,A143)&gt;1,"DUPLICADO","OK"))</x:f>
      </x:c>
      <x:c r="Z143" s="61" t="str">
        <x:f>IF(A143="","",IF(C143="","FALTA TÍTULO",IF(E143="","FALTA ÁREA",IF(W143&lt;&gt;"Sí","PENDIENTE","LISTO"))))</x:f>
      </x:c>
    </x:row>
    <x:row r="144">
      <x:c r="A144" s="40"/>
      <x:c r="B144" s="40"/>
      <x:c r="C144" s="37"/>
      <x:c r="D144" s="37"/>
      <x:c r="E144" s="37"/>
      <x:c r="F144" s="43"/>
      <x:c r="G144" s="43"/>
      <x:c r="H144" s="43"/>
      <x:c r="I144" s="55" t="str">
        <x:f>IF(OR(F144="",G144="",H144=""),"",F144&amp;" "&amp;UPPER(G144)&amp;"."&amp;LOWER(H144))</x:f>
      </x:c>
      <x:c r="J144" s="37"/>
      <x:c r="K144" s="37"/>
      <x:c r="L144" s="46"/>
      <x:c r="M144" s="43"/>
      <x:c r="N144" s="43"/>
      <x:c r="O144" s="43"/>
      <x:c r="P144" s="58" t="str">
        <x:f>IF(N144="","","Estantería "&amp;N144&amp;IF(O144="",""," - Balda "&amp;N144&amp;O144))</x:f>
      </x:c>
      <x:c r="Q144" s="37"/>
      <x:c r="R144" s="37"/>
      <x:c r="S144" s="49"/>
      <x:c r="T144" s="37"/>
      <x:c r="U144" s="37"/>
      <x:c r="V144" s="37"/>
      <x:c r="W144" s="34"/>
      <x:c r="X144" s="52"/>
      <x:c r="Y144" s="61" t="str">
        <x:f>IF(A144="","",IF(COUNTIF($A$6:$A$605,A144)&gt;1,"DUPLICADO","OK"))</x:f>
      </x:c>
      <x:c r="Z144" s="61" t="str">
        <x:f>IF(A144="","",IF(C144="","FALTA TÍTULO",IF(E144="","FALTA ÁREA",IF(W144&lt;&gt;"Sí","PENDIENTE","LISTO"))))</x:f>
      </x:c>
    </x:row>
    <x:row r="145">
      <x:c r="A145" s="40"/>
      <x:c r="B145" s="40"/>
      <x:c r="C145" s="37"/>
      <x:c r="D145" s="37"/>
      <x:c r="E145" s="37"/>
      <x:c r="F145" s="43"/>
      <x:c r="G145" s="43"/>
      <x:c r="H145" s="43"/>
      <x:c r="I145" s="55" t="str">
        <x:f>IF(OR(F145="",G145="",H145=""),"",F145&amp;" "&amp;UPPER(G145)&amp;"."&amp;LOWER(H145))</x:f>
      </x:c>
      <x:c r="J145" s="37"/>
      <x:c r="K145" s="37"/>
      <x:c r="L145" s="46"/>
      <x:c r="M145" s="43"/>
      <x:c r="N145" s="43"/>
      <x:c r="O145" s="43"/>
      <x:c r="P145" s="58" t="str">
        <x:f>IF(N145="","","Estantería "&amp;N145&amp;IF(O145="",""," - Balda "&amp;N145&amp;O145))</x:f>
      </x:c>
      <x:c r="Q145" s="37"/>
      <x:c r="R145" s="37"/>
      <x:c r="S145" s="49"/>
      <x:c r="T145" s="37"/>
      <x:c r="U145" s="37"/>
      <x:c r="V145" s="37"/>
      <x:c r="W145" s="34"/>
      <x:c r="X145" s="52"/>
      <x:c r="Y145" s="61" t="str">
        <x:f>IF(A145="","",IF(COUNTIF($A$6:$A$605,A145)&gt;1,"DUPLICADO","OK"))</x:f>
      </x:c>
      <x:c r="Z145" s="61" t="str">
        <x:f>IF(A145="","",IF(C145="","FALTA TÍTULO",IF(E145="","FALTA ÁREA",IF(W145&lt;&gt;"Sí","PENDIENTE","LISTO"))))</x:f>
      </x:c>
    </x:row>
    <x:row r="146">
      <x:c r="A146" s="40"/>
      <x:c r="B146" s="40"/>
      <x:c r="C146" s="37"/>
      <x:c r="D146" s="37"/>
      <x:c r="E146" s="37"/>
      <x:c r="F146" s="43"/>
      <x:c r="G146" s="43"/>
      <x:c r="H146" s="43"/>
      <x:c r="I146" s="55" t="str">
        <x:f>IF(OR(F146="",G146="",H146=""),"",F146&amp;" "&amp;UPPER(G146)&amp;"."&amp;LOWER(H146))</x:f>
      </x:c>
      <x:c r="J146" s="37"/>
      <x:c r="K146" s="37"/>
      <x:c r="L146" s="46"/>
      <x:c r="M146" s="43"/>
      <x:c r="N146" s="43"/>
      <x:c r="O146" s="43"/>
      <x:c r="P146" s="58" t="str">
        <x:f>IF(N146="","","Estantería "&amp;N146&amp;IF(O146="",""," - Balda "&amp;N146&amp;O146))</x:f>
      </x:c>
      <x:c r="Q146" s="37"/>
      <x:c r="R146" s="37"/>
      <x:c r="S146" s="49"/>
      <x:c r="T146" s="37"/>
      <x:c r="U146" s="37"/>
      <x:c r="V146" s="37"/>
      <x:c r="W146" s="34"/>
      <x:c r="X146" s="52"/>
      <x:c r="Y146" s="61" t="str">
        <x:f>IF(A146="","",IF(COUNTIF($A$6:$A$605,A146)&gt;1,"DUPLICADO","OK"))</x:f>
      </x:c>
      <x:c r="Z146" s="61" t="str">
        <x:f>IF(A146="","",IF(C146="","FALTA TÍTULO",IF(E146="","FALTA ÁREA",IF(W146&lt;&gt;"Sí","PENDIENTE","LISTO"))))</x:f>
      </x:c>
    </x:row>
    <x:row r="147">
      <x:c r="A147" s="40"/>
      <x:c r="B147" s="40"/>
      <x:c r="C147" s="37"/>
      <x:c r="D147" s="37"/>
      <x:c r="E147" s="37"/>
      <x:c r="F147" s="43"/>
      <x:c r="G147" s="43"/>
      <x:c r="H147" s="43"/>
      <x:c r="I147" s="55" t="str">
        <x:f>IF(OR(F147="",G147="",H147=""),"",F147&amp;" "&amp;UPPER(G147)&amp;"."&amp;LOWER(H147))</x:f>
      </x:c>
      <x:c r="J147" s="37"/>
      <x:c r="K147" s="37"/>
      <x:c r="L147" s="46"/>
      <x:c r="M147" s="43"/>
      <x:c r="N147" s="43"/>
      <x:c r="O147" s="43"/>
      <x:c r="P147" s="58" t="str">
        <x:f>IF(N147="","","Estantería "&amp;N147&amp;IF(O147="",""," - Balda "&amp;N147&amp;O147))</x:f>
      </x:c>
      <x:c r="Q147" s="37"/>
      <x:c r="R147" s="37"/>
      <x:c r="S147" s="49"/>
      <x:c r="T147" s="37"/>
      <x:c r="U147" s="37"/>
      <x:c r="V147" s="37"/>
      <x:c r="W147" s="34"/>
      <x:c r="X147" s="52"/>
      <x:c r="Y147" s="61" t="str">
        <x:f>IF(A147="","",IF(COUNTIF($A$6:$A$605,A147)&gt;1,"DUPLICADO","OK"))</x:f>
      </x:c>
      <x:c r="Z147" s="61" t="str">
        <x:f>IF(A147="","",IF(C147="","FALTA TÍTULO",IF(E147="","FALTA ÁREA",IF(W147&lt;&gt;"Sí","PENDIENTE","LISTO"))))</x:f>
      </x:c>
    </x:row>
    <x:row r="148">
      <x:c r="A148" s="40"/>
      <x:c r="B148" s="40"/>
      <x:c r="C148" s="37"/>
      <x:c r="D148" s="37"/>
      <x:c r="E148" s="37"/>
      <x:c r="F148" s="43"/>
      <x:c r="G148" s="43"/>
      <x:c r="H148" s="43"/>
      <x:c r="I148" s="55" t="str">
        <x:f>IF(OR(F148="",G148="",H148=""),"",F148&amp;" "&amp;UPPER(G148)&amp;"."&amp;LOWER(H148))</x:f>
      </x:c>
      <x:c r="J148" s="37"/>
      <x:c r="K148" s="37"/>
      <x:c r="L148" s="46"/>
      <x:c r="M148" s="43"/>
      <x:c r="N148" s="43"/>
      <x:c r="O148" s="43"/>
      <x:c r="P148" s="58" t="str">
        <x:f>IF(N148="","","Estantería "&amp;N148&amp;IF(O148="",""," - Balda "&amp;N148&amp;O148))</x:f>
      </x:c>
      <x:c r="Q148" s="37"/>
      <x:c r="R148" s="37"/>
      <x:c r="S148" s="49"/>
      <x:c r="T148" s="37"/>
      <x:c r="U148" s="37"/>
      <x:c r="V148" s="37"/>
      <x:c r="W148" s="34"/>
      <x:c r="X148" s="52"/>
      <x:c r="Y148" s="61" t="str">
        <x:f>IF(A148="","",IF(COUNTIF($A$6:$A$605,A148)&gt;1,"DUPLICADO","OK"))</x:f>
      </x:c>
      <x:c r="Z148" s="61" t="str">
        <x:f>IF(A148="","",IF(C148="","FALTA TÍTULO",IF(E148="","FALTA ÁREA",IF(W148&lt;&gt;"Sí","PENDIENTE","LISTO"))))</x:f>
      </x:c>
    </x:row>
    <x:row r="149">
      <x:c r="A149" s="40"/>
      <x:c r="B149" s="40"/>
      <x:c r="C149" s="37"/>
      <x:c r="D149" s="37"/>
      <x:c r="E149" s="37"/>
      <x:c r="F149" s="43"/>
      <x:c r="G149" s="43"/>
      <x:c r="H149" s="43"/>
      <x:c r="I149" s="55" t="str">
        <x:f>IF(OR(F149="",G149="",H149=""),"",F149&amp;" "&amp;UPPER(G149)&amp;"."&amp;LOWER(H149))</x:f>
      </x:c>
      <x:c r="J149" s="37"/>
      <x:c r="K149" s="37"/>
      <x:c r="L149" s="46"/>
      <x:c r="M149" s="43"/>
      <x:c r="N149" s="43"/>
      <x:c r="O149" s="43"/>
      <x:c r="P149" s="58" t="str">
        <x:f>IF(N149="","","Estantería "&amp;N149&amp;IF(O149="",""," - Balda "&amp;N149&amp;O149))</x:f>
      </x:c>
      <x:c r="Q149" s="37"/>
      <x:c r="R149" s="37"/>
      <x:c r="S149" s="49"/>
      <x:c r="T149" s="37"/>
      <x:c r="U149" s="37"/>
      <x:c r="V149" s="37"/>
      <x:c r="W149" s="34"/>
      <x:c r="X149" s="52"/>
      <x:c r="Y149" s="61" t="str">
        <x:f>IF(A149="","",IF(COUNTIF($A$6:$A$605,A149)&gt;1,"DUPLICADO","OK"))</x:f>
      </x:c>
      <x:c r="Z149" s="61" t="str">
        <x:f>IF(A149="","",IF(C149="","FALTA TÍTULO",IF(E149="","FALTA ÁREA",IF(W149&lt;&gt;"Sí","PENDIENTE","LISTO"))))</x:f>
      </x:c>
    </x:row>
    <x:row r="150">
      <x:c r="A150" s="40"/>
      <x:c r="B150" s="40"/>
      <x:c r="C150" s="37"/>
      <x:c r="D150" s="37"/>
      <x:c r="E150" s="37"/>
      <x:c r="F150" s="43"/>
      <x:c r="G150" s="43"/>
      <x:c r="H150" s="43"/>
      <x:c r="I150" s="55" t="str">
        <x:f>IF(OR(F150="",G150="",H150=""),"",F150&amp;" "&amp;UPPER(G150)&amp;"."&amp;LOWER(H150))</x:f>
      </x:c>
      <x:c r="J150" s="37"/>
      <x:c r="K150" s="37"/>
      <x:c r="L150" s="46"/>
      <x:c r="M150" s="43"/>
      <x:c r="N150" s="43"/>
      <x:c r="O150" s="43"/>
      <x:c r="P150" s="58" t="str">
        <x:f>IF(N150="","","Estantería "&amp;N150&amp;IF(O150="",""," - Balda "&amp;N150&amp;O150))</x:f>
      </x:c>
      <x:c r="Q150" s="37"/>
      <x:c r="R150" s="37"/>
      <x:c r="S150" s="49"/>
      <x:c r="T150" s="37"/>
      <x:c r="U150" s="37"/>
      <x:c r="V150" s="37"/>
      <x:c r="W150" s="34"/>
      <x:c r="X150" s="52"/>
      <x:c r="Y150" s="61" t="str">
        <x:f>IF(A150="","",IF(COUNTIF($A$6:$A$605,A150)&gt;1,"DUPLICADO","OK"))</x:f>
      </x:c>
      <x:c r="Z150" s="61" t="str">
        <x:f>IF(A150="","",IF(C150="","FALTA TÍTULO",IF(E150="","FALTA ÁREA",IF(W150&lt;&gt;"Sí","PENDIENTE","LISTO"))))</x:f>
      </x:c>
    </x:row>
    <x:row r="151">
      <x:c r="A151" s="40"/>
      <x:c r="B151" s="40"/>
      <x:c r="C151" s="37"/>
      <x:c r="D151" s="37"/>
      <x:c r="E151" s="37"/>
      <x:c r="F151" s="43"/>
      <x:c r="G151" s="43"/>
      <x:c r="H151" s="43"/>
      <x:c r="I151" s="55" t="str">
        <x:f>IF(OR(F151="",G151="",H151=""),"",F151&amp;" "&amp;UPPER(G151)&amp;"."&amp;LOWER(H151))</x:f>
      </x:c>
      <x:c r="J151" s="37"/>
      <x:c r="K151" s="37"/>
      <x:c r="L151" s="46"/>
      <x:c r="M151" s="43"/>
      <x:c r="N151" s="43"/>
      <x:c r="O151" s="43"/>
      <x:c r="P151" s="58" t="str">
        <x:f>IF(N151="","","Estantería "&amp;N151&amp;IF(O151="",""," - Balda "&amp;N151&amp;O151))</x:f>
      </x:c>
      <x:c r="Q151" s="37"/>
      <x:c r="R151" s="37"/>
      <x:c r="S151" s="49"/>
      <x:c r="T151" s="37"/>
      <x:c r="U151" s="37"/>
      <x:c r="V151" s="37"/>
      <x:c r="W151" s="34"/>
      <x:c r="X151" s="52"/>
      <x:c r="Y151" s="61" t="str">
        <x:f>IF(A151="","",IF(COUNTIF($A$6:$A$605,A151)&gt;1,"DUPLICADO","OK"))</x:f>
      </x:c>
      <x:c r="Z151" s="61" t="str">
        <x:f>IF(A151="","",IF(C151="","FALTA TÍTULO",IF(E151="","FALTA ÁREA",IF(W151&lt;&gt;"Sí","PENDIENTE","LISTO"))))</x:f>
      </x:c>
    </x:row>
    <x:row r="152">
      <x:c r="A152" s="40"/>
      <x:c r="B152" s="40"/>
      <x:c r="C152" s="37"/>
      <x:c r="D152" s="37"/>
      <x:c r="E152" s="37"/>
      <x:c r="F152" s="43"/>
      <x:c r="G152" s="43"/>
      <x:c r="H152" s="43"/>
      <x:c r="I152" s="55" t="str">
        <x:f>IF(OR(F152="",G152="",H152=""),"",F152&amp;" "&amp;UPPER(G152)&amp;"."&amp;LOWER(H152))</x:f>
      </x:c>
      <x:c r="J152" s="37"/>
      <x:c r="K152" s="37"/>
      <x:c r="L152" s="46"/>
      <x:c r="M152" s="43"/>
      <x:c r="N152" s="43"/>
      <x:c r="O152" s="43"/>
      <x:c r="P152" s="58" t="str">
        <x:f>IF(N152="","","Estantería "&amp;N152&amp;IF(O152="",""," - Balda "&amp;N152&amp;O152))</x:f>
      </x:c>
      <x:c r="Q152" s="37"/>
      <x:c r="R152" s="37"/>
      <x:c r="S152" s="49"/>
      <x:c r="T152" s="37"/>
      <x:c r="U152" s="37"/>
      <x:c r="V152" s="37"/>
      <x:c r="W152" s="34"/>
      <x:c r="X152" s="52"/>
      <x:c r="Y152" s="61" t="str">
        <x:f>IF(A152="","",IF(COUNTIF($A$6:$A$605,A152)&gt;1,"DUPLICADO","OK"))</x:f>
      </x:c>
      <x:c r="Z152" s="61" t="str">
        <x:f>IF(A152="","",IF(C152="","FALTA TÍTULO",IF(E152="","FALTA ÁREA",IF(W152&lt;&gt;"Sí","PENDIENTE","LISTO"))))</x:f>
      </x:c>
    </x:row>
    <x:row r="153">
      <x:c r="A153" s="40"/>
      <x:c r="B153" s="40"/>
      <x:c r="C153" s="37"/>
      <x:c r="D153" s="37"/>
      <x:c r="E153" s="37"/>
      <x:c r="F153" s="43"/>
      <x:c r="G153" s="43"/>
      <x:c r="H153" s="43"/>
      <x:c r="I153" s="55" t="str">
        <x:f>IF(OR(F153="",G153="",H153=""),"",F153&amp;" "&amp;UPPER(G153)&amp;"."&amp;LOWER(H153))</x:f>
      </x:c>
      <x:c r="J153" s="37"/>
      <x:c r="K153" s="37"/>
      <x:c r="L153" s="46"/>
      <x:c r="M153" s="43"/>
      <x:c r="N153" s="43"/>
      <x:c r="O153" s="43"/>
      <x:c r="P153" s="58" t="str">
        <x:f>IF(N153="","","Estantería "&amp;N153&amp;IF(O153="",""," - Balda "&amp;N153&amp;O153))</x:f>
      </x:c>
      <x:c r="Q153" s="37"/>
      <x:c r="R153" s="37"/>
      <x:c r="S153" s="49"/>
      <x:c r="T153" s="37"/>
      <x:c r="U153" s="37"/>
      <x:c r="V153" s="37"/>
      <x:c r="W153" s="34"/>
      <x:c r="X153" s="52"/>
      <x:c r="Y153" s="61" t="str">
        <x:f>IF(A153="","",IF(COUNTIF($A$6:$A$605,A153)&gt;1,"DUPLICADO","OK"))</x:f>
      </x:c>
      <x:c r="Z153" s="61" t="str">
        <x:f>IF(A153="","",IF(C153="","FALTA TÍTULO",IF(E153="","FALTA ÁREA",IF(W153&lt;&gt;"Sí","PENDIENTE","LISTO"))))</x:f>
      </x:c>
    </x:row>
    <x:row r="154">
      <x:c r="A154" s="40"/>
      <x:c r="B154" s="40"/>
      <x:c r="C154" s="37"/>
      <x:c r="D154" s="37"/>
      <x:c r="E154" s="37"/>
      <x:c r="F154" s="43"/>
      <x:c r="G154" s="43"/>
      <x:c r="H154" s="43"/>
      <x:c r="I154" s="55" t="str">
        <x:f>IF(OR(F154="",G154="",H154=""),"",F154&amp;" "&amp;UPPER(G154)&amp;"."&amp;LOWER(H154))</x:f>
      </x:c>
      <x:c r="J154" s="37"/>
      <x:c r="K154" s="37"/>
      <x:c r="L154" s="46"/>
      <x:c r="M154" s="43"/>
      <x:c r="N154" s="43"/>
      <x:c r="O154" s="43"/>
      <x:c r="P154" s="58" t="str">
        <x:f>IF(N154="","","Estantería "&amp;N154&amp;IF(O154="",""," - Balda "&amp;N154&amp;O154))</x:f>
      </x:c>
      <x:c r="Q154" s="37"/>
      <x:c r="R154" s="37"/>
      <x:c r="S154" s="49"/>
      <x:c r="T154" s="37"/>
      <x:c r="U154" s="37"/>
      <x:c r="V154" s="37"/>
      <x:c r="W154" s="34"/>
      <x:c r="X154" s="52"/>
      <x:c r="Y154" s="61" t="str">
        <x:f>IF(A154="","",IF(COUNTIF($A$6:$A$605,A154)&gt;1,"DUPLICADO","OK"))</x:f>
      </x:c>
      <x:c r="Z154" s="61" t="str">
        <x:f>IF(A154="","",IF(C154="","FALTA TÍTULO",IF(E154="","FALTA ÁREA",IF(W154&lt;&gt;"Sí","PENDIENTE","LISTO"))))</x:f>
      </x:c>
    </x:row>
    <x:row r="155">
      <x:c r="A155" s="40"/>
      <x:c r="B155" s="40"/>
      <x:c r="C155" s="37"/>
      <x:c r="D155" s="37"/>
      <x:c r="E155" s="37"/>
      <x:c r="F155" s="43"/>
      <x:c r="G155" s="43"/>
      <x:c r="H155" s="43"/>
      <x:c r="I155" s="55" t="str">
        <x:f>IF(OR(F155="",G155="",H155=""),"",F155&amp;" "&amp;UPPER(G155)&amp;"."&amp;LOWER(H155))</x:f>
      </x:c>
      <x:c r="J155" s="37"/>
      <x:c r="K155" s="37"/>
      <x:c r="L155" s="46"/>
      <x:c r="M155" s="43"/>
      <x:c r="N155" s="43"/>
      <x:c r="O155" s="43"/>
      <x:c r="P155" s="58" t="str">
        <x:f>IF(N155="","","Estantería "&amp;N155&amp;IF(O155="",""," - Balda "&amp;N155&amp;O155))</x:f>
      </x:c>
      <x:c r="Q155" s="37"/>
      <x:c r="R155" s="37"/>
      <x:c r="S155" s="49"/>
      <x:c r="T155" s="37"/>
      <x:c r="U155" s="37"/>
      <x:c r="V155" s="37"/>
      <x:c r="W155" s="34"/>
      <x:c r="X155" s="52"/>
      <x:c r="Y155" s="61" t="str">
        <x:f>IF(A155="","",IF(COUNTIF($A$6:$A$605,A155)&gt;1,"DUPLICADO","OK"))</x:f>
      </x:c>
      <x:c r="Z155" s="61" t="str">
        <x:f>IF(A155="","",IF(C155="","FALTA TÍTULO",IF(E155="","FALTA ÁREA",IF(W155&lt;&gt;"Sí","PENDIENTE","LISTO"))))</x:f>
      </x:c>
    </x:row>
    <x:row r="156">
      <x:c r="A156" s="40"/>
      <x:c r="B156" s="40"/>
      <x:c r="C156" s="37"/>
      <x:c r="D156" s="37"/>
      <x:c r="E156" s="37"/>
      <x:c r="F156" s="43"/>
      <x:c r="G156" s="43"/>
      <x:c r="H156" s="43"/>
      <x:c r="I156" s="55" t="str">
        <x:f>IF(OR(F156="",G156="",H156=""),"",F156&amp;" "&amp;UPPER(G156)&amp;"."&amp;LOWER(H156))</x:f>
      </x:c>
      <x:c r="J156" s="37"/>
      <x:c r="K156" s="37"/>
      <x:c r="L156" s="46"/>
      <x:c r="M156" s="43"/>
      <x:c r="N156" s="43"/>
      <x:c r="O156" s="43"/>
      <x:c r="P156" s="58" t="str">
        <x:f>IF(N156="","","Estantería "&amp;N156&amp;IF(O156="",""," - Balda "&amp;N156&amp;O156))</x:f>
      </x:c>
      <x:c r="Q156" s="37"/>
      <x:c r="R156" s="37"/>
      <x:c r="S156" s="49"/>
      <x:c r="T156" s="37"/>
      <x:c r="U156" s="37"/>
      <x:c r="V156" s="37"/>
      <x:c r="W156" s="34"/>
      <x:c r="X156" s="52"/>
      <x:c r="Y156" s="61" t="str">
        <x:f>IF(A156="","",IF(COUNTIF($A$6:$A$605,A156)&gt;1,"DUPLICADO","OK"))</x:f>
      </x:c>
      <x:c r="Z156" s="61" t="str">
        <x:f>IF(A156="","",IF(C156="","FALTA TÍTULO",IF(E156="","FALTA ÁREA",IF(W156&lt;&gt;"Sí","PENDIENTE","LISTO"))))</x:f>
      </x:c>
    </x:row>
    <x:row r="157">
      <x:c r="A157" s="40"/>
      <x:c r="B157" s="40"/>
      <x:c r="C157" s="37"/>
      <x:c r="D157" s="37"/>
      <x:c r="E157" s="37"/>
      <x:c r="F157" s="43"/>
      <x:c r="G157" s="43"/>
      <x:c r="H157" s="43"/>
      <x:c r="I157" s="55" t="str">
        <x:f>IF(OR(F157="",G157="",H157=""),"",F157&amp;" "&amp;UPPER(G157)&amp;"."&amp;LOWER(H157))</x:f>
      </x:c>
      <x:c r="J157" s="37"/>
      <x:c r="K157" s="37"/>
      <x:c r="L157" s="46"/>
      <x:c r="M157" s="43"/>
      <x:c r="N157" s="43"/>
      <x:c r="O157" s="43"/>
      <x:c r="P157" s="58" t="str">
        <x:f>IF(N157="","","Estantería "&amp;N157&amp;IF(O157="",""," - Balda "&amp;N157&amp;O157))</x:f>
      </x:c>
      <x:c r="Q157" s="37"/>
      <x:c r="R157" s="37"/>
      <x:c r="S157" s="49"/>
      <x:c r="T157" s="37"/>
      <x:c r="U157" s="37"/>
      <x:c r="V157" s="37"/>
      <x:c r="W157" s="34"/>
      <x:c r="X157" s="52"/>
      <x:c r="Y157" s="61" t="str">
        <x:f>IF(A157="","",IF(COUNTIF($A$6:$A$605,A157)&gt;1,"DUPLICADO","OK"))</x:f>
      </x:c>
      <x:c r="Z157" s="61" t="str">
        <x:f>IF(A157="","",IF(C157="","FALTA TÍTULO",IF(E157="","FALTA ÁREA",IF(W157&lt;&gt;"Sí","PENDIENTE","LISTO"))))</x:f>
      </x:c>
    </x:row>
    <x:row r="158">
      <x:c r="A158" s="40"/>
      <x:c r="B158" s="40"/>
      <x:c r="C158" s="37"/>
      <x:c r="D158" s="37"/>
      <x:c r="E158" s="37"/>
      <x:c r="F158" s="43"/>
      <x:c r="G158" s="43"/>
      <x:c r="H158" s="43"/>
      <x:c r="I158" s="55" t="str">
        <x:f>IF(OR(F158="",G158="",H158=""),"",F158&amp;" "&amp;UPPER(G158)&amp;"."&amp;LOWER(H158))</x:f>
      </x:c>
      <x:c r="J158" s="37"/>
      <x:c r="K158" s="37"/>
      <x:c r="L158" s="46"/>
      <x:c r="M158" s="43"/>
      <x:c r="N158" s="43"/>
      <x:c r="O158" s="43"/>
      <x:c r="P158" s="58" t="str">
        <x:f>IF(N158="","","Estantería "&amp;N158&amp;IF(O158="",""," - Balda "&amp;N158&amp;O158))</x:f>
      </x:c>
      <x:c r="Q158" s="37"/>
      <x:c r="R158" s="37"/>
      <x:c r="S158" s="49"/>
      <x:c r="T158" s="37"/>
      <x:c r="U158" s="37"/>
      <x:c r="V158" s="37"/>
      <x:c r="W158" s="34"/>
      <x:c r="X158" s="52"/>
      <x:c r="Y158" s="61" t="str">
        <x:f>IF(A158="","",IF(COUNTIF($A$6:$A$605,A158)&gt;1,"DUPLICADO","OK"))</x:f>
      </x:c>
      <x:c r="Z158" s="61" t="str">
        <x:f>IF(A158="","",IF(C158="","FALTA TÍTULO",IF(E158="","FALTA ÁREA",IF(W158&lt;&gt;"Sí","PENDIENTE","LISTO"))))</x:f>
      </x:c>
    </x:row>
    <x:row r="159">
      <x:c r="A159" s="40"/>
      <x:c r="B159" s="40"/>
      <x:c r="C159" s="37"/>
      <x:c r="D159" s="37"/>
      <x:c r="E159" s="37"/>
      <x:c r="F159" s="43"/>
      <x:c r="G159" s="43"/>
      <x:c r="H159" s="43"/>
      <x:c r="I159" s="55" t="str">
        <x:f>IF(OR(F159="",G159="",H159=""),"",F159&amp;" "&amp;UPPER(G159)&amp;"."&amp;LOWER(H159))</x:f>
      </x:c>
      <x:c r="J159" s="37"/>
      <x:c r="K159" s="37"/>
      <x:c r="L159" s="46"/>
      <x:c r="M159" s="43"/>
      <x:c r="N159" s="43"/>
      <x:c r="O159" s="43"/>
      <x:c r="P159" s="58" t="str">
        <x:f>IF(N159="","","Estantería "&amp;N159&amp;IF(O159="",""," - Balda "&amp;N159&amp;O159))</x:f>
      </x:c>
      <x:c r="Q159" s="37"/>
      <x:c r="R159" s="37"/>
      <x:c r="S159" s="49"/>
      <x:c r="T159" s="37"/>
      <x:c r="U159" s="37"/>
      <x:c r="V159" s="37"/>
      <x:c r="W159" s="34"/>
      <x:c r="X159" s="52"/>
      <x:c r="Y159" s="61" t="str">
        <x:f>IF(A159="","",IF(COUNTIF($A$6:$A$605,A159)&gt;1,"DUPLICADO","OK"))</x:f>
      </x:c>
      <x:c r="Z159" s="61" t="str">
        <x:f>IF(A159="","",IF(C159="","FALTA TÍTULO",IF(E159="","FALTA ÁREA",IF(W159&lt;&gt;"Sí","PENDIENTE","LISTO"))))</x:f>
      </x:c>
    </x:row>
    <x:row r="160">
      <x:c r="A160" s="40"/>
      <x:c r="B160" s="40"/>
      <x:c r="C160" s="37"/>
      <x:c r="D160" s="37"/>
      <x:c r="E160" s="37"/>
      <x:c r="F160" s="43"/>
      <x:c r="G160" s="43"/>
      <x:c r="H160" s="43"/>
      <x:c r="I160" s="55" t="str">
        <x:f>IF(OR(F160="",G160="",H160=""),"",F160&amp;" "&amp;UPPER(G160)&amp;"."&amp;LOWER(H160))</x:f>
      </x:c>
      <x:c r="J160" s="37"/>
      <x:c r="K160" s="37"/>
      <x:c r="L160" s="46"/>
      <x:c r="M160" s="43"/>
      <x:c r="N160" s="43"/>
      <x:c r="O160" s="43"/>
      <x:c r="P160" s="58" t="str">
        <x:f>IF(N160="","","Estantería "&amp;N160&amp;IF(O160="",""," - Balda "&amp;N160&amp;O160))</x:f>
      </x:c>
      <x:c r="Q160" s="37"/>
      <x:c r="R160" s="37"/>
      <x:c r="S160" s="49"/>
      <x:c r="T160" s="37"/>
      <x:c r="U160" s="37"/>
      <x:c r="V160" s="37"/>
      <x:c r="W160" s="34"/>
      <x:c r="X160" s="52"/>
      <x:c r="Y160" s="61" t="str">
        <x:f>IF(A160="","",IF(COUNTIF($A$6:$A$605,A160)&gt;1,"DUPLICADO","OK"))</x:f>
      </x:c>
      <x:c r="Z160" s="61" t="str">
        <x:f>IF(A160="","",IF(C160="","FALTA TÍTULO",IF(E160="","FALTA ÁREA",IF(W160&lt;&gt;"Sí","PENDIENTE","LISTO"))))</x:f>
      </x:c>
    </x:row>
    <x:row r="161">
      <x:c r="A161" s="40"/>
      <x:c r="B161" s="40"/>
      <x:c r="C161" s="37"/>
      <x:c r="D161" s="37"/>
      <x:c r="E161" s="37"/>
      <x:c r="F161" s="43"/>
      <x:c r="G161" s="43"/>
      <x:c r="H161" s="43"/>
      <x:c r="I161" s="55" t="str">
        <x:f>IF(OR(F161="",G161="",H161=""),"",F161&amp;" "&amp;UPPER(G161)&amp;"."&amp;LOWER(H161))</x:f>
      </x:c>
      <x:c r="J161" s="37"/>
      <x:c r="K161" s="37"/>
      <x:c r="L161" s="46"/>
      <x:c r="M161" s="43"/>
      <x:c r="N161" s="43"/>
      <x:c r="O161" s="43"/>
      <x:c r="P161" s="58" t="str">
        <x:f>IF(N161="","","Estantería "&amp;N161&amp;IF(O161="",""," - Balda "&amp;N161&amp;O161))</x:f>
      </x:c>
      <x:c r="Q161" s="37"/>
      <x:c r="R161" s="37"/>
      <x:c r="S161" s="49"/>
      <x:c r="T161" s="37"/>
      <x:c r="U161" s="37"/>
      <x:c r="V161" s="37"/>
      <x:c r="W161" s="34"/>
      <x:c r="X161" s="52"/>
      <x:c r="Y161" s="61" t="str">
        <x:f>IF(A161="","",IF(COUNTIF($A$6:$A$605,A161)&gt;1,"DUPLICADO","OK"))</x:f>
      </x:c>
      <x:c r="Z161" s="61" t="str">
        <x:f>IF(A161="","",IF(C161="","FALTA TÍTULO",IF(E161="","FALTA ÁREA",IF(W161&lt;&gt;"Sí","PENDIENTE","LISTO"))))</x:f>
      </x:c>
    </x:row>
    <x:row r="162">
      <x:c r="A162" s="40"/>
      <x:c r="B162" s="40"/>
      <x:c r="C162" s="37"/>
      <x:c r="D162" s="37"/>
      <x:c r="E162" s="37"/>
      <x:c r="F162" s="43"/>
      <x:c r="G162" s="43"/>
      <x:c r="H162" s="43"/>
      <x:c r="I162" s="55" t="str">
        <x:f>IF(OR(F162="",G162="",H162=""),"",F162&amp;" "&amp;UPPER(G162)&amp;"."&amp;LOWER(H162))</x:f>
      </x:c>
      <x:c r="J162" s="37"/>
      <x:c r="K162" s="37"/>
      <x:c r="L162" s="46"/>
      <x:c r="M162" s="43"/>
      <x:c r="N162" s="43"/>
      <x:c r="O162" s="43"/>
      <x:c r="P162" s="58" t="str">
        <x:f>IF(N162="","","Estantería "&amp;N162&amp;IF(O162="",""," - Balda "&amp;N162&amp;O162))</x:f>
      </x:c>
      <x:c r="Q162" s="37"/>
      <x:c r="R162" s="37"/>
      <x:c r="S162" s="49"/>
      <x:c r="T162" s="37"/>
      <x:c r="U162" s="37"/>
      <x:c r="V162" s="37"/>
      <x:c r="W162" s="34"/>
      <x:c r="X162" s="52"/>
      <x:c r="Y162" s="61" t="str">
        <x:f>IF(A162="","",IF(COUNTIF($A$6:$A$605,A162)&gt;1,"DUPLICADO","OK"))</x:f>
      </x:c>
      <x:c r="Z162" s="61" t="str">
        <x:f>IF(A162="","",IF(C162="","FALTA TÍTULO",IF(E162="","FALTA ÁREA",IF(W162&lt;&gt;"Sí","PENDIENTE","LISTO"))))</x:f>
      </x:c>
    </x:row>
    <x:row r="163">
      <x:c r="A163" s="40"/>
      <x:c r="B163" s="40"/>
      <x:c r="C163" s="37"/>
      <x:c r="D163" s="37"/>
      <x:c r="E163" s="37"/>
      <x:c r="F163" s="43"/>
      <x:c r="G163" s="43"/>
      <x:c r="H163" s="43"/>
      <x:c r="I163" s="55" t="str">
        <x:f>IF(OR(F163="",G163="",H163=""),"",F163&amp;" "&amp;UPPER(G163)&amp;"."&amp;LOWER(H163))</x:f>
      </x:c>
      <x:c r="J163" s="37"/>
      <x:c r="K163" s="37"/>
      <x:c r="L163" s="46"/>
      <x:c r="M163" s="43"/>
      <x:c r="N163" s="43"/>
      <x:c r="O163" s="43"/>
      <x:c r="P163" s="58" t="str">
        <x:f>IF(N163="","","Estantería "&amp;N163&amp;IF(O163="",""," - Balda "&amp;N163&amp;O163))</x:f>
      </x:c>
      <x:c r="Q163" s="37"/>
      <x:c r="R163" s="37"/>
      <x:c r="S163" s="49"/>
      <x:c r="T163" s="37"/>
      <x:c r="U163" s="37"/>
      <x:c r="V163" s="37"/>
      <x:c r="W163" s="34"/>
      <x:c r="X163" s="52"/>
      <x:c r="Y163" s="61" t="str">
        <x:f>IF(A163="","",IF(COUNTIF($A$6:$A$605,A163)&gt;1,"DUPLICADO","OK"))</x:f>
      </x:c>
      <x:c r="Z163" s="61" t="str">
        <x:f>IF(A163="","",IF(C163="","FALTA TÍTULO",IF(E163="","FALTA ÁREA",IF(W163&lt;&gt;"Sí","PENDIENTE","LISTO"))))</x:f>
      </x:c>
    </x:row>
    <x:row r="164">
      <x:c r="A164" s="40"/>
      <x:c r="B164" s="40"/>
      <x:c r="C164" s="37"/>
      <x:c r="D164" s="37"/>
      <x:c r="E164" s="37"/>
      <x:c r="F164" s="43"/>
      <x:c r="G164" s="43"/>
      <x:c r="H164" s="43"/>
      <x:c r="I164" s="55" t="str">
        <x:f>IF(OR(F164="",G164="",H164=""),"",F164&amp;" "&amp;UPPER(G164)&amp;"."&amp;LOWER(H164))</x:f>
      </x:c>
      <x:c r="J164" s="37"/>
      <x:c r="K164" s="37"/>
      <x:c r="L164" s="46"/>
      <x:c r="M164" s="43"/>
      <x:c r="N164" s="43"/>
      <x:c r="O164" s="43"/>
      <x:c r="P164" s="58" t="str">
        <x:f>IF(N164="","","Estantería "&amp;N164&amp;IF(O164="",""," - Balda "&amp;N164&amp;O164))</x:f>
      </x:c>
      <x:c r="Q164" s="37"/>
      <x:c r="R164" s="37"/>
      <x:c r="S164" s="49"/>
      <x:c r="T164" s="37"/>
      <x:c r="U164" s="37"/>
      <x:c r="V164" s="37"/>
      <x:c r="W164" s="34"/>
      <x:c r="X164" s="52"/>
      <x:c r="Y164" s="61" t="str">
        <x:f>IF(A164="","",IF(COUNTIF($A$6:$A$605,A164)&gt;1,"DUPLICADO","OK"))</x:f>
      </x:c>
      <x:c r="Z164" s="61" t="str">
        <x:f>IF(A164="","",IF(C164="","FALTA TÍTULO",IF(E164="","FALTA ÁREA",IF(W164&lt;&gt;"Sí","PENDIENTE","LISTO"))))</x:f>
      </x:c>
    </x:row>
    <x:row r="165">
      <x:c r="A165" s="40"/>
      <x:c r="B165" s="40"/>
      <x:c r="C165" s="37"/>
      <x:c r="D165" s="37"/>
      <x:c r="E165" s="37"/>
      <x:c r="F165" s="43"/>
      <x:c r="G165" s="43"/>
      <x:c r="H165" s="43"/>
      <x:c r="I165" s="55" t="str">
        <x:f>IF(OR(F165="",G165="",H165=""),"",F165&amp;" "&amp;UPPER(G165)&amp;"."&amp;LOWER(H165))</x:f>
      </x:c>
      <x:c r="J165" s="37"/>
      <x:c r="K165" s="37"/>
      <x:c r="L165" s="46"/>
      <x:c r="M165" s="43"/>
      <x:c r="N165" s="43"/>
      <x:c r="O165" s="43"/>
      <x:c r="P165" s="58" t="str">
        <x:f>IF(N165="","","Estantería "&amp;N165&amp;IF(O165="",""," - Balda "&amp;N165&amp;O165))</x:f>
      </x:c>
      <x:c r="Q165" s="37"/>
      <x:c r="R165" s="37"/>
      <x:c r="S165" s="49"/>
      <x:c r="T165" s="37"/>
      <x:c r="U165" s="37"/>
      <x:c r="V165" s="37"/>
      <x:c r="W165" s="34"/>
      <x:c r="X165" s="52"/>
      <x:c r="Y165" s="61" t="str">
        <x:f>IF(A165="","",IF(COUNTIF($A$6:$A$605,A165)&gt;1,"DUPLICADO","OK"))</x:f>
      </x:c>
      <x:c r="Z165" s="61" t="str">
        <x:f>IF(A165="","",IF(C165="","FALTA TÍTULO",IF(E165="","FALTA ÁREA",IF(W165&lt;&gt;"Sí","PENDIENTE","LISTO"))))</x:f>
      </x:c>
    </x:row>
    <x:row r="166">
      <x:c r="A166" s="40"/>
      <x:c r="B166" s="40"/>
      <x:c r="C166" s="37"/>
      <x:c r="D166" s="37"/>
      <x:c r="E166" s="37"/>
      <x:c r="F166" s="43"/>
      <x:c r="G166" s="43"/>
      <x:c r="H166" s="43"/>
      <x:c r="I166" s="55" t="str">
        <x:f>IF(OR(F166="",G166="",H166=""),"",F166&amp;" "&amp;UPPER(G166)&amp;"."&amp;LOWER(H166))</x:f>
      </x:c>
      <x:c r="J166" s="37"/>
      <x:c r="K166" s="37"/>
      <x:c r="L166" s="46"/>
      <x:c r="M166" s="43"/>
      <x:c r="N166" s="43"/>
      <x:c r="O166" s="43"/>
      <x:c r="P166" s="58" t="str">
        <x:f>IF(N166="","","Estantería "&amp;N166&amp;IF(O166="",""," - Balda "&amp;N166&amp;O166))</x:f>
      </x:c>
      <x:c r="Q166" s="37"/>
      <x:c r="R166" s="37"/>
      <x:c r="S166" s="49"/>
      <x:c r="T166" s="37"/>
      <x:c r="U166" s="37"/>
      <x:c r="V166" s="37"/>
      <x:c r="W166" s="34"/>
      <x:c r="X166" s="52"/>
      <x:c r="Y166" s="61" t="str">
        <x:f>IF(A166="","",IF(COUNTIF($A$6:$A$605,A166)&gt;1,"DUPLICADO","OK"))</x:f>
      </x:c>
      <x:c r="Z166" s="61" t="str">
        <x:f>IF(A166="","",IF(C166="","FALTA TÍTULO",IF(E166="","FALTA ÁREA",IF(W166&lt;&gt;"Sí","PENDIENTE","LISTO"))))</x:f>
      </x:c>
    </x:row>
    <x:row r="167">
      <x:c r="A167" s="40"/>
      <x:c r="B167" s="40"/>
      <x:c r="C167" s="37"/>
      <x:c r="D167" s="37"/>
      <x:c r="E167" s="37"/>
      <x:c r="F167" s="43"/>
      <x:c r="G167" s="43"/>
      <x:c r="H167" s="43"/>
      <x:c r="I167" s="55" t="str">
        <x:f>IF(OR(F167="",G167="",H167=""),"",F167&amp;" "&amp;UPPER(G167)&amp;"."&amp;LOWER(H167))</x:f>
      </x:c>
      <x:c r="J167" s="37"/>
      <x:c r="K167" s="37"/>
      <x:c r="L167" s="46"/>
      <x:c r="M167" s="43"/>
      <x:c r="N167" s="43"/>
      <x:c r="O167" s="43"/>
      <x:c r="P167" s="58" t="str">
        <x:f>IF(N167="","","Estantería "&amp;N167&amp;IF(O167="",""," - Balda "&amp;N167&amp;O167))</x:f>
      </x:c>
      <x:c r="Q167" s="37"/>
      <x:c r="R167" s="37"/>
      <x:c r="S167" s="49"/>
      <x:c r="T167" s="37"/>
      <x:c r="U167" s="37"/>
      <x:c r="V167" s="37"/>
      <x:c r="W167" s="34"/>
      <x:c r="X167" s="52"/>
      <x:c r="Y167" s="61" t="str">
        <x:f>IF(A167="","",IF(COUNTIF($A$6:$A$605,A167)&gt;1,"DUPLICADO","OK"))</x:f>
      </x:c>
      <x:c r="Z167" s="61" t="str">
        <x:f>IF(A167="","",IF(C167="","FALTA TÍTULO",IF(E167="","FALTA ÁREA",IF(W167&lt;&gt;"Sí","PENDIENTE","LISTO"))))</x:f>
      </x:c>
    </x:row>
    <x:row r="168">
      <x:c r="A168" s="40"/>
      <x:c r="B168" s="40"/>
      <x:c r="C168" s="37"/>
      <x:c r="D168" s="37"/>
      <x:c r="E168" s="37"/>
      <x:c r="F168" s="43"/>
      <x:c r="G168" s="43"/>
      <x:c r="H168" s="43"/>
      <x:c r="I168" s="55" t="str">
        <x:f>IF(OR(F168="",G168="",H168=""),"",F168&amp;" "&amp;UPPER(G168)&amp;"."&amp;LOWER(H168))</x:f>
      </x:c>
      <x:c r="J168" s="37"/>
      <x:c r="K168" s="37"/>
      <x:c r="L168" s="46"/>
      <x:c r="M168" s="43"/>
      <x:c r="N168" s="43"/>
      <x:c r="O168" s="43"/>
      <x:c r="P168" s="58" t="str">
        <x:f>IF(N168="","","Estantería "&amp;N168&amp;IF(O168="",""," - Balda "&amp;N168&amp;O168))</x:f>
      </x:c>
      <x:c r="Q168" s="37"/>
      <x:c r="R168" s="37"/>
      <x:c r="S168" s="49"/>
      <x:c r="T168" s="37"/>
      <x:c r="U168" s="37"/>
      <x:c r="V168" s="37"/>
      <x:c r="W168" s="34"/>
      <x:c r="X168" s="52"/>
      <x:c r="Y168" s="61" t="str">
        <x:f>IF(A168="","",IF(COUNTIF($A$6:$A$605,A168)&gt;1,"DUPLICADO","OK"))</x:f>
      </x:c>
      <x:c r="Z168" s="61" t="str">
        <x:f>IF(A168="","",IF(C168="","FALTA TÍTULO",IF(E168="","FALTA ÁREA",IF(W168&lt;&gt;"Sí","PENDIENTE","LISTO"))))</x:f>
      </x:c>
    </x:row>
    <x:row r="169">
      <x:c r="A169" s="40"/>
      <x:c r="B169" s="40"/>
      <x:c r="C169" s="37"/>
      <x:c r="D169" s="37"/>
      <x:c r="E169" s="37"/>
      <x:c r="F169" s="43"/>
      <x:c r="G169" s="43"/>
      <x:c r="H169" s="43"/>
      <x:c r="I169" s="55" t="str">
        <x:f>IF(OR(F169="",G169="",H169=""),"",F169&amp;" "&amp;UPPER(G169)&amp;"."&amp;LOWER(H169))</x:f>
      </x:c>
      <x:c r="J169" s="37"/>
      <x:c r="K169" s="37"/>
      <x:c r="L169" s="46"/>
      <x:c r="M169" s="43"/>
      <x:c r="N169" s="43"/>
      <x:c r="O169" s="43"/>
      <x:c r="P169" s="58" t="str">
        <x:f>IF(N169="","","Estantería "&amp;N169&amp;IF(O169="",""," - Balda "&amp;N169&amp;O169))</x:f>
      </x:c>
      <x:c r="Q169" s="37"/>
      <x:c r="R169" s="37"/>
      <x:c r="S169" s="49"/>
      <x:c r="T169" s="37"/>
      <x:c r="U169" s="37"/>
      <x:c r="V169" s="37"/>
      <x:c r="W169" s="34"/>
      <x:c r="X169" s="52"/>
      <x:c r="Y169" s="61" t="str">
        <x:f>IF(A169="","",IF(COUNTIF($A$6:$A$605,A169)&gt;1,"DUPLICADO","OK"))</x:f>
      </x:c>
      <x:c r="Z169" s="61" t="str">
        <x:f>IF(A169="","",IF(C169="","FALTA TÍTULO",IF(E169="","FALTA ÁREA",IF(W169&lt;&gt;"Sí","PENDIENTE","LISTO"))))</x:f>
      </x:c>
    </x:row>
    <x:row r="170">
      <x:c r="A170" s="40"/>
      <x:c r="B170" s="40"/>
      <x:c r="C170" s="37"/>
      <x:c r="D170" s="37"/>
      <x:c r="E170" s="37"/>
      <x:c r="F170" s="43"/>
      <x:c r="G170" s="43"/>
      <x:c r="H170" s="43"/>
      <x:c r="I170" s="55" t="str">
        <x:f>IF(OR(F170="",G170="",H170=""),"",F170&amp;" "&amp;UPPER(G170)&amp;"."&amp;LOWER(H170))</x:f>
      </x:c>
      <x:c r="J170" s="37"/>
      <x:c r="K170" s="37"/>
      <x:c r="L170" s="46"/>
      <x:c r="M170" s="43"/>
      <x:c r="N170" s="43"/>
      <x:c r="O170" s="43"/>
      <x:c r="P170" s="58" t="str">
        <x:f>IF(N170="","","Estantería "&amp;N170&amp;IF(O170="",""," - Balda "&amp;N170&amp;O170))</x:f>
      </x:c>
      <x:c r="Q170" s="37"/>
      <x:c r="R170" s="37"/>
      <x:c r="S170" s="49"/>
      <x:c r="T170" s="37"/>
      <x:c r="U170" s="37"/>
      <x:c r="V170" s="37"/>
      <x:c r="W170" s="34"/>
      <x:c r="X170" s="52"/>
      <x:c r="Y170" s="61" t="str">
        <x:f>IF(A170="","",IF(COUNTIF($A$6:$A$605,A170)&gt;1,"DUPLICADO","OK"))</x:f>
      </x:c>
      <x:c r="Z170" s="61" t="str">
        <x:f>IF(A170="","",IF(C170="","FALTA TÍTULO",IF(E170="","FALTA ÁREA",IF(W170&lt;&gt;"Sí","PENDIENTE","LISTO"))))</x:f>
      </x:c>
    </x:row>
    <x:row r="171">
      <x:c r="A171" s="40"/>
      <x:c r="B171" s="40"/>
      <x:c r="C171" s="37"/>
      <x:c r="D171" s="37"/>
      <x:c r="E171" s="37"/>
      <x:c r="F171" s="43"/>
      <x:c r="G171" s="43"/>
      <x:c r="H171" s="43"/>
      <x:c r="I171" s="55" t="str">
        <x:f>IF(OR(F171="",G171="",H171=""),"",F171&amp;" "&amp;UPPER(G171)&amp;"."&amp;LOWER(H171))</x:f>
      </x:c>
      <x:c r="J171" s="37"/>
      <x:c r="K171" s="37"/>
      <x:c r="L171" s="46"/>
      <x:c r="M171" s="43"/>
      <x:c r="N171" s="43"/>
      <x:c r="O171" s="43"/>
      <x:c r="P171" s="58" t="str">
        <x:f>IF(N171="","","Estantería "&amp;N171&amp;IF(O171="",""," - Balda "&amp;N171&amp;O171))</x:f>
      </x:c>
      <x:c r="Q171" s="37"/>
      <x:c r="R171" s="37"/>
      <x:c r="S171" s="49"/>
      <x:c r="T171" s="37"/>
      <x:c r="U171" s="37"/>
      <x:c r="V171" s="37"/>
      <x:c r="W171" s="34"/>
      <x:c r="X171" s="52"/>
      <x:c r="Y171" s="61" t="str">
        <x:f>IF(A171="","",IF(COUNTIF($A$6:$A$605,A171)&gt;1,"DUPLICADO","OK"))</x:f>
      </x:c>
      <x:c r="Z171" s="61" t="str">
        <x:f>IF(A171="","",IF(C171="","FALTA TÍTULO",IF(E171="","FALTA ÁREA",IF(W171&lt;&gt;"Sí","PENDIENTE","LISTO"))))</x:f>
      </x:c>
    </x:row>
    <x:row r="172">
      <x:c r="A172" s="40"/>
      <x:c r="B172" s="40"/>
      <x:c r="C172" s="37"/>
      <x:c r="D172" s="37"/>
      <x:c r="E172" s="37"/>
      <x:c r="F172" s="43"/>
      <x:c r="G172" s="43"/>
      <x:c r="H172" s="43"/>
      <x:c r="I172" s="55" t="str">
        <x:f>IF(OR(F172="",G172="",H172=""),"",F172&amp;" "&amp;UPPER(G172)&amp;"."&amp;LOWER(H172))</x:f>
      </x:c>
      <x:c r="J172" s="37"/>
      <x:c r="K172" s="37"/>
      <x:c r="L172" s="46"/>
      <x:c r="M172" s="43"/>
      <x:c r="N172" s="43"/>
      <x:c r="O172" s="43"/>
      <x:c r="P172" s="58" t="str">
        <x:f>IF(N172="","","Estantería "&amp;N172&amp;IF(O172="",""," - Balda "&amp;N172&amp;O172))</x:f>
      </x:c>
      <x:c r="Q172" s="37"/>
      <x:c r="R172" s="37"/>
      <x:c r="S172" s="49"/>
      <x:c r="T172" s="37"/>
      <x:c r="U172" s="37"/>
      <x:c r="V172" s="37"/>
      <x:c r="W172" s="34"/>
      <x:c r="X172" s="52"/>
      <x:c r="Y172" s="61" t="str">
        <x:f>IF(A172="","",IF(COUNTIF($A$6:$A$605,A172)&gt;1,"DUPLICADO","OK"))</x:f>
      </x:c>
      <x:c r="Z172" s="61" t="str">
        <x:f>IF(A172="","",IF(C172="","FALTA TÍTULO",IF(E172="","FALTA ÁREA",IF(W172&lt;&gt;"Sí","PENDIENTE","LISTO"))))</x:f>
      </x:c>
    </x:row>
    <x:row r="173">
      <x:c r="A173" s="40"/>
      <x:c r="B173" s="40"/>
      <x:c r="C173" s="37"/>
      <x:c r="D173" s="37"/>
      <x:c r="E173" s="37"/>
      <x:c r="F173" s="43"/>
      <x:c r="G173" s="43"/>
      <x:c r="H173" s="43"/>
      <x:c r="I173" s="55" t="str">
        <x:f>IF(OR(F173="",G173="",H173=""),"",F173&amp;" "&amp;UPPER(G173)&amp;"."&amp;LOWER(H173))</x:f>
      </x:c>
      <x:c r="J173" s="37"/>
      <x:c r="K173" s="37"/>
      <x:c r="L173" s="46"/>
      <x:c r="M173" s="43"/>
      <x:c r="N173" s="43"/>
      <x:c r="O173" s="43"/>
      <x:c r="P173" s="58" t="str">
        <x:f>IF(N173="","","Estantería "&amp;N173&amp;IF(O173="",""," - Balda "&amp;N173&amp;O173))</x:f>
      </x:c>
      <x:c r="Q173" s="37"/>
      <x:c r="R173" s="37"/>
      <x:c r="S173" s="49"/>
      <x:c r="T173" s="37"/>
      <x:c r="U173" s="37"/>
      <x:c r="V173" s="37"/>
      <x:c r="W173" s="34"/>
      <x:c r="X173" s="52"/>
      <x:c r="Y173" s="61" t="str">
        <x:f>IF(A173="","",IF(COUNTIF($A$6:$A$605,A173)&gt;1,"DUPLICADO","OK"))</x:f>
      </x:c>
      <x:c r="Z173" s="61" t="str">
        <x:f>IF(A173="","",IF(C173="","FALTA TÍTULO",IF(E173="","FALTA ÁREA",IF(W173&lt;&gt;"Sí","PENDIENTE","LISTO"))))</x:f>
      </x:c>
    </x:row>
    <x:row r="174">
      <x:c r="A174" s="40"/>
      <x:c r="B174" s="40"/>
      <x:c r="C174" s="37"/>
      <x:c r="D174" s="37"/>
      <x:c r="E174" s="37"/>
      <x:c r="F174" s="43"/>
      <x:c r="G174" s="43"/>
      <x:c r="H174" s="43"/>
      <x:c r="I174" s="55" t="str">
        <x:f>IF(OR(F174="",G174="",H174=""),"",F174&amp;" "&amp;UPPER(G174)&amp;"."&amp;LOWER(H174))</x:f>
      </x:c>
      <x:c r="J174" s="37"/>
      <x:c r="K174" s="37"/>
      <x:c r="L174" s="46"/>
      <x:c r="M174" s="43"/>
      <x:c r="N174" s="43"/>
      <x:c r="O174" s="43"/>
      <x:c r="P174" s="58" t="str">
        <x:f>IF(N174="","","Estantería "&amp;N174&amp;IF(O174="",""," - Balda "&amp;N174&amp;O174))</x:f>
      </x:c>
      <x:c r="Q174" s="37"/>
      <x:c r="R174" s="37"/>
      <x:c r="S174" s="49"/>
      <x:c r="T174" s="37"/>
      <x:c r="U174" s="37"/>
      <x:c r="V174" s="37"/>
      <x:c r="W174" s="34"/>
      <x:c r="X174" s="52"/>
      <x:c r="Y174" s="61" t="str">
        <x:f>IF(A174="","",IF(COUNTIF($A$6:$A$605,A174)&gt;1,"DUPLICADO","OK"))</x:f>
      </x:c>
      <x:c r="Z174" s="61" t="str">
        <x:f>IF(A174="","",IF(C174="","FALTA TÍTULO",IF(E174="","FALTA ÁREA",IF(W174&lt;&gt;"Sí","PENDIENTE","LISTO"))))</x:f>
      </x:c>
    </x:row>
    <x:row r="175">
      <x:c r="A175" s="40"/>
      <x:c r="B175" s="40"/>
      <x:c r="C175" s="37"/>
      <x:c r="D175" s="37"/>
      <x:c r="E175" s="37"/>
      <x:c r="F175" s="43"/>
      <x:c r="G175" s="43"/>
      <x:c r="H175" s="43"/>
      <x:c r="I175" s="55" t="str">
        <x:f>IF(OR(F175="",G175="",H175=""),"",F175&amp;" "&amp;UPPER(G175)&amp;"."&amp;LOWER(H175))</x:f>
      </x:c>
      <x:c r="J175" s="37"/>
      <x:c r="K175" s="37"/>
      <x:c r="L175" s="46"/>
      <x:c r="M175" s="43"/>
      <x:c r="N175" s="43"/>
      <x:c r="O175" s="43"/>
      <x:c r="P175" s="58" t="str">
        <x:f>IF(N175="","","Estantería "&amp;N175&amp;IF(O175="",""," - Balda "&amp;N175&amp;O175))</x:f>
      </x:c>
      <x:c r="Q175" s="37"/>
      <x:c r="R175" s="37"/>
      <x:c r="S175" s="49"/>
      <x:c r="T175" s="37"/>
      <x:c r="U175" s="37"/>
      <x:c r="V175" s="37"/>
      <x:c r="W175" s="34"/>
      <x:c r="X175" s="52"/>
      <x:c r="Y175" s="61" t="str">
        <x:f>IF(A175="","",IF(COUNTIF($A$6:$A$605,A175)&gt;1,"DUPLICADO","OK"))</x:f>
      </x:c>
      <x:c r="Z175" s="61" t="str">
        <x:f>IF(A175="","",IF(C175="","FALTA TÍTULO",IF(E175="","FALTA ÁREA",IF(W175&lt;&gt;"Sí","PENDIENTE","LISTO"))))</x:f>
      </x:c>
    </x:row>
    <x:row r="176">
      <x:c r="A176" s="40"/>
      <x:c r="B176" s="40"/>
      <x:c r="C176" s="37"/>
      <x:c r="D176" s="37"/>
      <x:c r="E176" s="37"/>
      <x:c r="F176" s="43"/>
      <x:c r="G176" s="43"/>
      <x:c r="H176" s="43"/>
      <x:c r="I176" s="55" t="str">
        <x:f>IF(OR(F176="",G176="",H176=""),"",F176&amp;" "&amp;UPPER(G176)&amp;"."&amp;LOWER(H176))</x:f>
      </x:c>
      <x:c r="J176" s="37"/>
      <x:c r="K176" s="37"/>
      <x:c r="L176" s="46"/>
      <x:c r="M176" s="43"/>
      <x:c r="N176" s="43"/>
      <x:c r="O176" s="43"/>
      <x:c r="P176" s="58" t="str">
        <x:f>IF(N176="","","Estantería "&amp;N176&amp;IF(O176="",""," - Balda "&amp;N176&amp;O176))</x:f>
      </x:c>
      <x:c r="Q176" s="37"/>
      <x:c r="R176" s="37"/>
      <x:c r="S176" s="49"/>
      <x:c r="T176" s="37"/>
      <x:c r="U176" s="37"/>
      <x:c r="V176" s="37"/>
      <x:c r="W176" s="34"/>
      <x:c r="X176" s="52"/>
      <x:c r="Y176" s="61" t="str">
        <x:f>IF(A176="","",IF(COUNTIF($A$6:$A$605,A176)&gt;1,"DUPLICADO","OK"))</x:f>
      </x:c>
      <x:c r="Z176" s="61" t="str">
        <x:f>IF(A176="","",IF(C176="","FALTA TÍTULO",IF(E176="","FALTA ÁREA",IF(W176&lt;&gt;"Sí","PENDIENTE","LISTO"))))</x:f>
      </x:c>
    </x:row>
    <x:row r="177">
      <x:c r="A177" s="40"/>
      <x:c r="B177" s="40"/>
      <x:c r="C177" s="37"/>
      <x:c r="D177" s="37"/>
      <x:c r="E177" s="37"/>
      <x:c r="F177" s="43"/>
      <x:c r="G177" s="43"/>
      <x:c r="H177" s="43"/>
      <x:c r="I177" s="55" t="str">
        <x:f>IF(OR(F177="",G177="",H177=""),"",F177&amp;" "&amp;UPPER(G177)&amp;"."&amp;LOWER(H177))</x:f>
      </x:c>
      <x:c r="J177" s="37"/>
      <x:c r="K177" s="37"/>
      <x:c r="L177" s="46"/>
      <x:c r="M177" s="43"/>
      <x:c r="N177" s="43"/>
      <x:c r="O177" s="43"/>
      <x:c r="P177" s="58" t="str">
        <x:f>IF(N177="","","Estantería "&amp;N177&amp;IF(O177="",""," - Balda "&amp;N177&amp;O177))</x:f>
      </x:c>
      <x:c r="Q177" s="37"/>
      <x:c r="R177" s="37"/>
      <x:c r="S177" s="49"/>
      <x:c r="T177" s="37"/>
      <x:c r="U177" s="37"/>
      <x:c r="V177" s="37"/>
      <x:c r="W177" s="34"/>
      <x:c r="X177" s="52"/>
      <x:c r="Y177" s="61" t="str">
        <x:f>IF(A177="","",IF(COUNTIF($A$6:$A$605,A177)&gt;1,"DUPLICADO","OK"))</x:f>
      </x:c>
      <x:c r="Z177" s="61" t="str">
        <x:f>IF(A177="","",IF(C177="","FALTA TÍTULO",IF(E177="","FALTA ÁREA",IF(W177&lt;&gt;"Sí","PENDIENTE","LISTO"))))</x:f>
      </x:c>
    </x:row>
    <x:row r="178">
      <x:c r="A178" s="40"/>
      <x:c r="B178" s="40"/>
      <x:c r="C178" s="37"/>
      <x:c r="D178" s="37"/>
      <x:c r="E178" s="37"/>
      <x:c r="F178" s="43"/>
      <x:c r="G178" s="43"/>
      <x:c r="H178" s="43"/>
      <x:c r="I178" s="55" t="str">
        <x:f>IF(OR(F178="",G178="",H178=""),"",F178&amp;" "&amp;UPPER(G178)&amp;"."&amp;LOWER(H178))</x:f>
      </x:c>
      <x:c r="J178" s="37"/>
      <x:c r="K178" s="37"/>
      <x:c r="L178" s="46"/>
      <x:c r="M178" s="43"/>
      <x:c r="N178" s="43"/>
      <x:c r="O178" s="43"/>
      <x:c r="P178" s="58" t="str">
        <x:f>IF(N178="","","Estantería "&amp;N178&amp;IF(O178="",""," - Balda "&amp;N178&amp;O178))</x:f>
      </x:c>
      <x:c r="Q178" s="37"/>
      <x:c r="R178" s="37"/>
      <x:c r="S178" s="49"/>
      <x:c r="T178" s="37"/>
      <x:c r="U178" s="37"/>
      <x:c r="V178" s="37"/>
      <x:c r="W178" s="34"/>
      <x:c r="X178" s="52"/>
      <x:c r="Y178" s="61" t="str">
        <x:f>IF(A178="","",IF(COUNTIF($A$6:$A$605,A178)&gt;1,"DUPLICADO","OK"))</x:f>
      </x:c>
      <x:c r="Z178" s="61" t="str">
        <x:f>IF(A178="","",IF(C178="","FALTA TÍTULO",IF(E178="","FALTA ÁREA",IF(W178&lt;&gt;"Sí","PENDIENTE","LISTO"))))</x:f>
      </x:c>
    </x:row>
    <x:row r="179">
      <x:c r="A179" s="40"/>
      <x:c r="B179" s="40"/>
      <x:c r="C179" s="37"/>
      <x:c r="D179" s="37"/>
      <x:c r="E179" s="37"/>
      <x:c r="F179" s="43"/>
      <x:c r="G179" s="43"/>
      <x:c r="H179" s="43"/>
      <x:c r="I179" s="55" t="str">
        <x:f>IF(OR(F179="",G179="",H179=""),"",F179&amp;" "&amp;UPPER(G179)&amp;"."&amp;LOWER(H179))</x:f>
      </x:c>
      <x:c r="J179" s="37"/>
      <x:c r="K179" s="37"/>
      <x:c r="L179" s="46"/>
      <x:c r="M179" s="43"/>
      <x:c r="N179" s="43"/>
      <x:c r="O179" s="43"/>
      <x:c r="P179" s="58" t="str">
        <x:f>IF(N179="","","Estantería "&amp;N179&amp;IF(O179="",""," - Balda "&amp;N179&amp;O179))</x:f>
      </x:c>
      <x:c r="Q179" s="37"/>
      <x:c r="R179" s="37"/>
      <x:c r="S179" s="49"/>
      <x:c r="T179" s="37"/>
      <x:c r="U179" s="37"/>
      <x:c r="V179" s="37"/>
      <x:c r="W179" s="34"/>
      <x:c r="X179" s="52"/>
      <x:c r="Y179" s="61" t="str">
        <x:f>IF(A179="","",IF(COUNTIF($A$6:$A$605,A179)&gt;1,"DUPLICADO","OK"))</x:f>
      </x:c>
      <x:c r="Z179" s="61" t="str">
        <x:f>IF(A179="","",IF(C179="","FALTA TÍTULO",IF(E179="","FALTA ÁREA",IF(W179&lt;&gt;"Sí","PENDIENTE","LISTO"))))</x:f>
      </x:c>
    </x:row>
    <x:row r="180">
      <x:c r="A180" s="40"/>
      <x:c r="B180" s="40"/>
      <x:c r="C180" s="37"/>
      <x:c r="D180" s="37"/>
      <x:c r="E180" s="37"/>
      <x:c r="F180" s="43"/>
      <x:c r="G180" s="43"/>
      <x:c r="H180" s="43"/>
      <x:c r="I180" s="55" t="str">
        <x:f>IF(OR(F180="",G180="",H180=""),"",F180&amp;" "&amp;UPPER(G180)&amp;"."&amp;LOWER(H180))</x:f>
      </x:c>
      <x:c r="J180" s="37"/>
      <x:c r="K180" s="37"/>
      <x:c r="L180" s="46"/>
      <x:c r="M180" s="43"/>
      <x:c r="N180" s="43"/>
      <x:c r="O180" s="43"/>
      <x:c r="P180" s="58" t="str">
        <x:f>IF(N180="","","Estantería "&amp;N180&amp;IF(O180="",""," - Balda "&amp;N180&amp;O180))</x:f>
      </x:c>
      <x:c r="Q180" s="37"/>
      <x:c r="R180" s="37"/>
      <x:c r="S180" s="49"/>
      <x:c r="T180" s="37"/>
      <x:c r="U180" s="37"/>
      <x:c r="V180" s="37"/>
      <x:c r="W180" s="34"/>
      <x:c r="X180" s="52"/>
      <x:c r="Y180" s="61" t="str">
        <x:f>IF(A180="","",IF(COUNTIF($A$6:$A$605,A180)&gt;1,"DUPLICADO","OK"))</x:f>
      </x:c>
      <x:c r="Z180" s="61" t="str">
        <x:f>IF(A180="","",IF(C180="","FALTA TÍTULO",IF(E180="","FALTA ÁREA",IF(W180&lt;&gt;"Sí","PENDIENTE","LISTO"))))</x:f>
      </x:c>
    </x:row>
    <x:row r="181">
      <x:c r="A181" s="40"/>
      <x:c r="B181" s="40"/>
      <x:c r="C181" s="37"/>
      <x:c r="D181" s="37"/>
      <x:c r="E181" s="37"/>
      <x:c r="F181" s="43"/>
      <x:c r="G181" s="43"/>
      <x:c r="H181" s="43"/>
      <x:c r="I181" s="55" t="str">
        <x:f>IF(OR(F181="",G181="",H181=""),"",F181&amp;" "&amp;UPPER(G181)&amp;"."&amp;LOWER(H181))</x:f>
      </x:c>
      <x:c r="J181" s="37"/>
      <x:c r="K181" s="37"/>
      <x:c r="L181" s="46"/>
      <x:c r="M181" s="43"/>
      <x:c r="N181" s="43"/>
      <x:c r="O181" s="43"/>
      <x:c r="P181" s="58" t="str">
        <x:f>IF(N181="","","Estantería "&amp;N181&amp;IF(O181="",""," - Balda "&amp;N181&amp;O181))</x:f>
      </x:c>
      <x:c r="Q181" s="37"/>
      <x:c r="R181" s="37"/>
      <x:c r="S181" s="49"/>
      <x:c r="T181" s="37"/>
      <x:c r="U181" s="37"/>
      <x:c r="V181" s="37"/>
      <x:c r="W181" s="34"/>
      <x:c r="X181" s="52"/>
      <x:c r="Y181" s="61" t="str">
        <x:f>IF(A181="","",IF(COUNTIF($A$6:$A$605,A181)&gt;1,"DUPLICADO","OK"))</x:f>
      </x:c>
      <x:c r="Z181" s="61" t="str">
        <x:f>IF(A181="","",IF(C181="","FALTA TÍTULO",IF(E181="","FALTA ÁREA",IF(W181&lt;&gt;"Sí","PENDIENTE","LISTO"))))</x:f>
      </x:c>
    </x:row>
    <x:row r="182">
      <x:c r="A182" s="40"/>
      <x:c r="B182" s="40"/>
      <x:c r="C182" s="37"/>
      <x:c r="D182" s="37"/>
      <x:c r="E182" s="37"/>
      <x:c r="F182" s="43"/>
      <x:c r="G182" s="43"/>
      <x:c r="H182" s="43"/>
      <x:c r="I182" s="55" t="str">
        <x:f>IF(OR(F182="",G182="",H182=""),"",F182&amp;" "&amp;UPPER(G182)&amp;"."&amp;LOWER(H182))</x:f>
      </x:c>
      <x:c r="J182" s="37"/>
      <x:c r="K182" s="37"/>
      <x:c r="L182" s="46"/>
      <x:c r="M182" s="43"/>
      <x:c r="N182" s="43"/>
      <x:c r="O182" s="43"/>
      <x:c r="P182" s="58" t="str">
        <x:f>IF(N182="","","Estantería "&amp;N182&amp;IF(O182="",""," - Balda "&amp;N182&amp;O182))</x:f>
      </x:c>
      <x:c r="Q182" s="37"/>
      <x:c r="R182" s="37"/>
      <x:c r="S182" s="49"/>
      <x:c r="T182" s="37"/>
      <x:c r="U182" s="37"/>
      <x:c r="V182" s="37"/>
      <x:c r="W182" s="34"/>
      <x:c r="X182" s="52"/>
      <x:c r="Y182" s="61" t="str">
        <x:f>IF(A182="","",IF(COUNTIF($A$6:$A$605,A182)&gt;1,"DUPLICADO","OK"))</x:f>
      </x:c>
      <x:c r="Z182" s="61" t="str">
        <x:f>IF(A182="","",IF(C182="","FALTA TÍTULO",IF(E182="","FALTA ÁREA",IF(W182&lt;&gt;"Sí","PENDIENTE","LISTO"))))</x:f>
      </x:c>
    </x:row>
    <x:row r="183">
      <x:c r="A183" s="40"/>
      <x:c r="B183" s="40"/>
      <x:c r="C183" s="37"/>
      <x:c r="D183" s="37"/>
      <x:c r="E183" s="37"/>
      <x:c r="F183" s="43"/>
      <x:c r="G183" s="43"/>
      <x:c r="H183" s="43"/>
      <x:c r="I183" s="55" t="str">
        <x:f>IF(OR(F183="",G183="",H183=""),"",F183&amp;" "&amp;UPPER(G183)&amp;"."&amp;LOWER(H183))</x:f>
      </x:c>
      <x:c r="J183" s="37"/>
      <x:c r="K183" s="37"/>
      <x:c r="L183" s="46"/>
      <x:c r="M183" s="43"/>
      <x:c r="N183" s="43"/>
      <x:c r="O183" s="43"/>
      <x:c r="P183" s="58" t="str">
        <x:f>IF(N183="","","Estantería "&amp;N183&amp;IF(O183="",""," - Balda "&amp;N183&amp;O183))</x:f>
      </x:c>
      <x:c r="Q183" s="37"/>
      <x:c r="R183" s="37"/>
      <x:c r="S183" s="49"/>
      <x:c r="T183" s="37"/>
      <x:c r="U183" s="37"/>
      <x:c r="V183" s="37"/>
      <x:c r="W183" s="34"/>
      <x:c r="X183" s="52"/>
      <x:c r="Y183" s="61" t="str">
        <x:f>IF(A183="","",IF(COUNTIF($A$6:$A$605,A183)&gt;1,"DUPLICADO","OK"))</x:f>
      </x:c>
      <x:c r="Z183" s="61" t="str">
        <x:f>IF(A183="","",IF(C183="","FALTA TÍTULO",IF(E183="","FALTA ÁREA",IF(W183&lt;&gt;"Sí","PENDIENTE","LISTO"))))</x:f>
      </x:c>
    </x:row>
    <x:row r="184">
      <x:c r="A184" s="40"/>
      <x:c r="B184" s="40"/>
      <x:c r="C184" s="37"/>
      <x:c r="D184" s="37"/>
      <x:c r="E184" s="37"/>
      <x:c r="F184" s="43"/>
      <x:c r="G184" s="43"/>
      <x:c r="H184" s="43"/>
      <x:c r="I184" s="55" t="str">
        <x:f>IF(OR(F184="",G184="",H184=""),"",F184&amp;" "&amp;UPPER(G184)&amp;"."&amp;LOWER(H184))</x:f>
      </x:c>
      <x:c r="J184" s="37"/>
      <x:c r="K184" s="37"/>
      <x:c r="L184" s="46"/>
      <x:c r="M184" s="43"/>
      <x:c r="N184" s="43"/>
      <x:c r="O184" s="43"/>
      <x:c r="P184" s="58" t="str">
        <x:f>IF(N184="","","Estantería "&amp;N184&amp;IF(O184="",""," - Balda "&amp;N184&amp;O184))</x:f>
      </x:c>
      <x:c r="Q184" s="37"/>
      <x:c r="R184" s="37"/>
      <x:c r="S184" s="49"/>
      <x:c r="T184" s="37"/>
      <x:c r="U184" s="37"/>
      <x:c r="V184" s="37"/>
      <x:c r="W184" s="34"/>
      <x:c r="X184" s="52"/>
      <x:c r="Y184" s="61" t="str">
        <x:f>IF(A184="","",IF(COUNTIF($A$6:$A$605,A184)&gt;1,"DUPLICADO","OK"))</x:f>
      </x:c>
      <x:c r="Z184" s="61" t="str">
        <x:f>IF(A184="","",IF(C184="","FALTA TÍTULO",IF(E184="","FALTA ÁREA",IF(W184&lt;&gt;"Sí","PENDIENTE","LISTO"))))</x:f>
      </x:c>
    </x:row>
    <x:row r="185">
      <x:c r="A185" s="40"/>
      <x:c r="B185" s="40"/>
      <x:c r="C185" s="37"/>
      <x:c r="D185" s="37"/>
      <x:c r="E185" s="37"/>
      <x:c r="F185" s="43"/>
      <x:c r="G185" s="43"/>
      <x:c r="H185" s="43"/>
      <x:c r="I185" s="55" t="str">
        <x:f>IF(OR(F185="",G185="",H185=""),"",F185&amp;" "&amp;UPPER(G185)&amp;"."&amp;LOWER(H185))</x:f>
      </x:c>
      <x:c r="J185" s="37"/>
      <x:c r="K185" s="37"/>
      <x:c r="L185" s="46"/>
      <x:c r="M185" s="43"/>
      <x:c r="N185" s="43"/>
      <x:c r="O185" s="43"/>
      <x:c r="P185" s="58" t="str">
        <x:f>IF(N185="","","Estantería "&amp;N185&amp;IF(O185="",""," - Balda "&amp;N185&amp;O185))</x:f>
      </x:c>
      <x:c r="Q185" s="37"/>
      <x:c r="R185" s="37"/>
      <x:c r="S185" s="49"/>
      <x:c r="T185" s="37"/>
      <x:c r="U185" s="37"/>
      <x:c r="V185" s="37"/>
      <x:c r="W185" s="34"/>
      <x:c r="X185" s="52"/>
      <x:c r="Y185" s="61" t="str">
        <x:f>IF(A185="","",IF(COUNTIF($A$6:$A$605,A185)&gt;1,"DUPLICADO","OK"))</x:f>
      </x:c>
      <x:c r="Z185" s="61" t="str">
        <x:f>IF(A185="","",IF(C185="","FALTA TÍTULO",IF(E185="","FALTA ÁREA",IF(W185&lt;&gt;"Sí","PENDIENTE","LISTO"))))</x:f>
      </x:c>
    </x:row>
    <x:row r="186">
      <x:c r="A186" s="40"/>
      <x:c r="B186" s="40"/>
      <x:c r="C186" s="37"/>
      <x:c r="D186" s="37"/>
      <x:c r="E186" s="37"/>
      <x:c r="F186" s="43"/>
      <x:c r="G186" s="43"/>
      <x:c r="H186" s="43"/>
      <x:c r="I186" s="55" t="str">
        <x:f>IF(OR(F186="",G186="",H186=""),"",F186&amp;" "&amp;UPPER(G186)&amp;"."&amp;LOWER(H186))</x:f>
      </x:c>
      <x:c r="J186" s="37"/>
      <x:c r="K186" s="37"/>
      <x:c r="L186" s="46"/>
      <x:c r="M186" s="43"/>
      <x:c r="N186" s="43"/>
      <x:c r="O186" s="43"/>
      <x:c r="P186" s="58" t="str">
        <x:f>IF(N186="","","Estantería "&amp;N186&amp;IF(O186="",""," - Balda "&amp;N186&amp;O186))</x:f>
      </x:c>
      <x:c r="Q186" s="37"/>
      <x:c r="R186" s="37"/>
      <x:c r="S186" s="49"/>
      <x:c r="T186" s="37"/>
      <x:c r="U186" s="37"/>
      <x:c r="V186" s="37"/>
      <x:c r="W186" s="34"/>
      <x:c r="X186" s="52"/>
      <x:c r="Y186" s="61" t="str">
        <x:f>IF(A186="","",IF(COUNTIF($A$6:$A$605,A186)&gt;1,"DUPLICADO","OK"))</x:f>
      </x:c>
      <x:c r="Z186" s="61" t="str">
        <x:f>IF(A186="","",IF(C186="","FALTA TÍTULO",IF(E186="","FALTA ÁREA",IF(W186&lt;&gt;"Sí","PENDIENTE","LISTO"))))</x:f>
      </x:c>
    </x:row>
    <x:row r="187">
      <x:c r="A187" s="40"/>
      <x:c r="B187" s="40"/>
      <x:c r="C187" s="37"/>
      <x:c r="D187" s="37"/>
      <x:c r="E187" s="37"/>
      <x:c r="F187" s="43"/>
      <x:c r="G187" s="43"/>
      <x:c r="H187" s="43"/>
      <x:c r="I187" s="55" t="str">
        <x:f>IF(OR(F187="",G187="",H187=""),"",F187&amp;" "&amp;UPPER(G187)&amp;"."&amp;LOWER(H187))</x:f>
      </x:c>
      <x:c r="J187" s="37"/>
      <x:c r="K187" s="37"/>
      <x:c r="L187" s="46"/>
      <x:c r="M187" s="43"/>
      <x:c r="N187" s="43"/>
      <x:c r="O187" s="43"/>
      <x:c r="P187" s="58" t="str">
        <x:f>IF(N187="","","Estantería "&amp;N187&amp;IF(O187="",""," - Balda "&amp;N187&amp;O187))</x:f>
      </x:c>
      <x:c r="Q187" s="37"/>
      <x:c r="R187" s="37"/>
      <x:c r="S187" s="49"/>
      <x:c r="T187" s="37"/>
      <x:c r="U187" s="37"/>
      <x:c r="V187" s="37"/>
      <x:c r="W187" s="34"/>
      <x:c r="X187" s="52"/>
      <x:c r="Y187" s="61" t="str">
        <x:f>IF(A187="","",IF(COUNTIF($A$6:$A$605,A187)&gt;1,"DUPLICADO","OK"))</x:f>
      </x:c>
      <x:c r="Z187" s="61" t="str">
        <x:f>IF(A187="","",IF(C187="","FALTA TÍTULO",IF(E187="","FALTA ÁREA",IF(W187&lt;&gt;"Sí","PENDIENTE","LISTO"))))</x:f>
      </x:c>
    </x:row>
    <x:row r="188">
      <x:c r="A188" s="40"/>
      <x:c r="B188" s="40"/>
      <x:c r="C188" s="37"/>
      <x:c r="D188" s="37"/>
      <x:c r="E188" s="37"/>
      <x:c r="F188" s="43"/>
      <x:c r="G188" s="43"/>
      <x:c r="H188" s="43"/>
      <x:c r="I188" s="55" t="str">
        <x:f>IF(OR(F188="",G188="",H188=""),"",F188&amp;" "&amp;UPPER(G188)&amp;"."&amp;LOWER(H188))</x:f>
      </x:c>
      <x:c r="J188" s="37"/>
      <x:c r="K188" s="37"/>
      <x:c r="L188" s="46"/>
      <x:c r="M188" s="43"/>
      <x:c r="N188" s="43"/>
      <x:c r="O188" s="43"/>
      <x:c r="P188" s="58" t="str">
        <x:f>IF(N188="","","Estantería "&amp;N188&amp;IF(O188="",""," - Balda "&amp;N188&amp;O188))</x:f>
      </x:c>
      <x:c r="Q188" s="37"/>
      <x:c r="R188" s="37"/>
      <x:c r="S188" s="49"/>
      <x:c r="T188" s="37"/>
      <x:c r="U188" s="37"/>
      <x:c r="V188" s="37"/>
      <x:c r="W188" s="34"/>
      <x:c r="X188" s="52"/>
      <x:c r="Y188" s="61" t="str">
        <x:f>IF(A188="","",IF(COUNTIF($A$6:$A$605,A188)&gt;1,"DUPLICADO","OK"))</x:f>
      </x:c>
      <x:c r="Z188" s="61" t="str">
        <x:f>IF(A188="","",IF(C188="","FALTA TÍTULO",IF(E188="","FALTA ÁREA",IF(W188&lt;&gt;"Sí","PENDIENTE","LISTO"))))</x:f>
      </x:c>
    </x:row>
    <x:row r="189">
      <x:c r="A189" s="40"/>
      <x:c r="B189" s="40"/>
      <x:c r="C189" s="37"/>
      <x:c r="D189" s="37"/>
      <x:c r="E189" s="37"/>
      <x:c r="F189" s="43"/>
      <x:c r="G189" s="43"/>
      <x:c r="H189" s="43"/>
      <x:c r="I189" s="55" t="str">
        <x:f>IF(OR(F189="",G189="",H189=""),"",F189&amp;" "&amp;UPPER(G189)&amp;"."&amp;LOWER(H189))</x:f>
      </x:c>
      <x:c r="J189" s="37"/>
      <x:c r="K189" s="37"/>
      <x:c r="L189" s="46"/>
      <x:c r="M189" s="43"/>
      <x:c r="N189" s="43"/>
      <x:c r="O189" s="43"/>
      <x:c r="P189" s="58" t="str">
        <x:f>IF(N189="","","Estantería "&amp;N189&amp;IF(O189="",""," - Balda "&amp;N189&amp;O189))</x:f>
      </x:c>
      <x:c r="Q189" s="37"/>
      <x:c r="R189" s="37"/>
      <x:c r="S189" s="49"/>
      <x:c r="T189" s="37"/>
      <x:c r="U189" s="37"/>
      <x:c r="V189" s="37"/>
      <x:c r="W189" s="34"/>
      <x:c r="X189" s="52"/>
      <x:c r="Y189" s="61" t="str">
        <x:f>IF(A189="","",IF(COUNTIF($A$6:$A$605,A189)&gt;1,"DUPLICADO","OK"))</x:f>
      </x:c>
      <x:c r="Z189" s="61" t="str">
        <x:f>IF(A189="","",IF(C189="","FALTA TÍTULO",IF(E189="","FALTA ÁREA",IF(W189&lt;&gt;"Sí","PENDIENTE","LISTO"))))</x:f>
      </x:c>
    </x:row>
    <x:row r="190">
      <x:c r="A190" s="40"/>
      <x:c r="B190" s="40"/>
      <x:c r="C190" s="37"/>
      <x:c r="D190" s="37"/>
      <x:c r="E190" s="37"/>
      <x:c r="F190" s="43"/>
      <x:c r="G190" s="43"/>
      <x:c r="H190" s="43"/>
      <x:c r="I190" s="55" t="str">
        <x:f>IF(OR(F190="",G190="",H190=""),"",F190&amp;" "&amp;UPPER(G190)&amp;"."&amp;LOWER(H190))</x:f>
      </x:c>
      <x:c r="J190" s="37"/>
      <x:c r="K190" s="37"/>
      <x:c r="L190" s="46"/>
      <x:c r="M190" s="43"/>
      <x:c r="N190" s="43"/>
      <x:c r="O190" s="43"/>
      <x:c r="P190" s="58" t="str">
        <x:f>IF(N190="","","Estantería "&amp;N190&amp;IF(O190="",""," - Balda "&amp;N190&amp;O190))</x:f>
      </x:c>
      <x:c r="Q190" s="37"/>
      <x:c r="R190" s="37"/>
      <x:c r="S190" s="49"/>
      <x:c r="T190" s="37"/>
      <x:c r="U190" s="37"/>
      <x:c r="V190" s="37"/>
      <x:c r="W190" s="34"/>
      <x:c r="X190" s="52"/>
      <x:c r="Y190" s="61" t="str">
        <x:f>IF(A190="","",IF(COUNTIF($A$6:$A$605,A190)&gt;1,"DUPLICADO","OK"))</x:f>
      </x:c>
      <x:c r="Z190" s="61" t="str">
        <x:f>IF(A190="","",IF(C190="","FALTA TÍTULO",IF(E190="","FALTA ÁREA",IF(W190&lt;&gt;"Sí","PENDIENTE","LISTO"))))</x:f>
      </x:c>
    </x:row>
    <x:row r="191">
      <x:c r="A191" s="40"/>
      <x:c r="B191" s="40"/>
      <x:c r="C191" s="37"/>
      <x:c r="D191" s="37"/>
      <x:c r="E191" s="37"/>
      <x:c r="F191" s="43"/>
      <x:c r="G191" s="43"/>
      <x:c r="H191" s="43"/>
      <x:c r="I191" s="55" t="str">
        <x:f>IF(OR(F191="",G191="",H191=""),"",F191&amp;" "&amp;UPPER(G191)&amp;"."&amp;LOWER(H191))</x:f>
      </x:c>
      <x:c r="J191" s="37"/>
      <x:c r="K191" s="37"/>
      <x:c r="L191" s="46"/>
      <x:c r="M191" s="43"/>
      <x:c r="N191" s="43"/>
      <x:c r="O191" s="43"/>
      <x:c r="P191" s="58" t="str">
        <x:f>IF(N191="","","Estantería "&amp;N191&amp;IF(O191="",""," - Balda "&amp;N191&amp;O191))</x:f>
      </x:c>
      <x:c r="Q191" s="37"/>
      <x:c r="R191" s="37"/>
      <x:c r="S191" s="49"/>
      <x:c r="T191" s="37"/>
      <x:c r="U191" s="37"/>
      <x:c r="V191" s="37"/>
      <x:c r="W191" s="34"/>
      <x:c r="X191" s="52"/>
      <x:c r="Y191" s="61" t="str">
        <x:f>IF(A191="","",IF(COUNTIF($A$6:$A$605,A191)&gt;1,"DUPLICADO","OK"))</x:f>
      </x:c>
      <x:c r="Z191" s="61" t="str">
        <x:f>IF(A191="","",IF(C191="","FALTA TÍTULO",IF(E191="","FALTA ÁREA",IF(W191&lt;&gt;"Sí","PENDIENTE","LISTO"))))</x:f>
      </x:c>
    </x:row>
    <x:row r="192">
      <x:c r="A192" s="40"/>
      <x:c r="B192" s="40"/>
      <x:c r="C192" s="37"/>
      <x:c r="D192" s="37"/>
      <x:c r="E192" s="37"/>
      <x:c r="F192" s="43"/>
      <x:c r="G192" s="43"/>
      <x:c r="H192" s="43"/>
      <x:c r="I192" s="55" t="str">
        <x:f>IF(OR(F192="",G192="",H192=""),"",F192&amp;" "&amp;UPPER(G192)&amp;"."&amp;LOWER(H192))</x:f>
      </x:c>
      <x:c r="J192" s="37"/>
      <x:c r="K192" s="37"/>
      <x:c r="L192" s="46"/>
      <x:c r="M192" s="43"/>
      <x:c r="N192" s="43"/>
      <x:c r="O192" s="43"/>
      <x:c r="P192" s="58" t="str">
        <x:f>IF(N192="","","Estantería "&amp;N192&amp;IF(O192="",""," - Balda "&amp;N192&amp;O192))</x:f>
      </x:c>
      <x:c r="Q192" s="37"/>
      <x:c r="R192" s="37"/>
      <x:c r="S192" s="49"/>
      <x:c r="T192" s="37"/>
      <x:c r="U192" s="37"/>
      <x:c r="V192" s="37"/>
      <x:c r="W192" s="34"/>
      <x:c r="X192" s="52"/>
      <x:c r="Y192" s="61" t="str">
        <x:f>IF(A192="","",IF(COUNTIF($A$6:$A$605,A192)&gt;1,"DUPLICADO","OK"))</x:f>
      </x:c>
      <x:c r="Z192" s="61" t="str">
        <x:f>IF(A192="","",IF(C192="","FALTA TÍTULO",IF(E192="","FALTA ÁREA",IF(W192&lt;&gt;"Sí","PENDIENTE","LISTO"))))</x:f>
      </x:c>
    </x:row>
    <x:row r="193">
      <x:c r="A193" s="40"/>
      <x:c r="B193" s="40"/>
      <x:c r="C193" s="37"/>
      <x:c r="D193" s="37"/>
      <x:c r="E193" s="37"/>
      <x:c r="F193" s="43"/>
      <x:c r="G193" s="43"/>
      <x:c r="H193" s="43"/>
      <x:c r="I193" s="55" t="str">
        <x:f>IF(OR(F193="",G193="",H193=""),"",F193&amp;" "&amp;UPPER(G193)&amp;"."&amp;LOWER(H193))</x:f>
      </x:c>
      <x:c r="J193" s="37"/>
      <x:c r="K193" s="37"/>
      <x:c r="L193" s="46"/>
      <x:c r="M193" s="43"/>
      <x:c r="N193" s="43"/>
      <x:c r="O193" s="43"/>
      <x:c r="P193" s="58" t="str">
        <x:f>IF(N193="","","Estantería "&amp;N193&amp;IF(O193="",""," - Balda "&amp;N193&amp;O193))</x:f>
      </x:c>
      <x:c r="Q193" s="37"/>
      <x:c r="R193" s="37"/>
      <x:c r="S193" s="49"/>
      <x:c r="T193" s="37"/>
      <x:c r="U193" s="37"/>
      <x:c r="V193" s="37"/>
      <x:c r="W193" s="34"/>
      <x:c r="X193" s="52"/>
      <x:c r="Y193" s="61" t="str">
        <x:f>IF(A193="","",IF(COUNTIF($A$6:$A$605,A193)&gt;1,"DUPLICADO","OK"))</x:f>
      </x:c>
      <x:c r="Z193" s="61" t="str">
        <x:f>IF(A193="","",IF(C193="","FALTA TÍTULO",IF(E193="","FALTA ÁREA",IF(W193&lt;&gt;"Sí","PENDIENTE","LISTO"))))</x:f>
      </x:c>
    </x:row>
    <x:row r="194">
      <x:c r="A194" s="40"/>
      <x:c r="B194" s="40"/>
      <x:c r="C194" s="37"/>
      <x:c r="D194" s="37"/>
      <x:c r="E194" s="37"/>
      <x:c r="F194" s="43"/>
      <x:c r="G194" s="43"/>
      <x:c r="H194" s="43"/>
      <x:c r="I194" s="55" t="str">
        <x:f>IF(OR(F194="",G194="",H194=""),"",F194&amp;" "&amp;UPPER(G194)&amp;"."&amp;LOWER(H194))</x:f>
      </x:c>
      <x:c r="J194" s="37"/>
      <x:c r="K194" s="37"/>
      <x:c r="L194" s="46"/>
      <x:c r="M194" s="43"/>
      <x:c r="N194" s="43"/>
      <x:c r="O194" s="43"/>
      <x:c r="P194" s="58" t="str">
        <x:f>IF(N194="","","Estantería "&amp;N194&amp;IF(O194="",""," - Balda "&amp;N194&amp;O194))</x:f>
      </x:c>
      <x:c r="Q194" s="37"/>
      <x:c r="R194" s="37"/>
      <x:c r="S194" s="49"/>
      <x:c r="T194" s="37"/>
      <x:c r="U194" s="37"/>
      <x:c r="V194" s="37"/>
      <x:c r="W194" s="34"/>
      <x:c r="X194" s="52"/>
      <x:c r="Y194" s="61" t="str">
        <x:f>IF(A194="","",IF(COUNTIF($A$6:$A$605,A194)&gt;1,"DUPLICADO","OK"))</x:f>
      </x:c>
      <x:c r="Z194" s="61" t="str">
        <x:f>IF(A194="","",IF(C194="","FALTA TÍTULO",IF(E194="","FALTA ÁREA",IF(W194&lt;&gt;"Sí","PENDIENTE","LISTO"))))</x:f>
      </x:c>
    </x:row>
    <x:row r="195">
      <x:c r="A195" s="40"/>
      <x:c r="B195" s="40"/>
      <x:c r="C195" s="37"/>
      <x:c r="D195" s="37"/>
      <x:c r="E195" s="37"/>
      <x:c r="F195" s="43"/>
      <x:c r="G195" s="43"/>
      <x:c r="H195" s="43"/>
      <x:c r="I195" s="55" t="str">
        <x:f>IF(OR(F195="",G195="",H195=""),"",F195&amp;" "&amp;UPPER(G195)&amp;"."&amp;LOWER(H195))</x:f>
      </x:c>
      <x:c r="J195" s="37"/>
      <x:c r="K195" s="37"/>
      <x:c r="L195" s="46"/>
      <x:c r="M195" s="43"/>
      <x:c r="N195" s="43"/>
      <x:c r="O195" s="43"/>
      <x:c r="P195" s="58" t="str">
        <x:f>IF(N195="","","Estantería "&amp;N195&amp;IF(O195="",""," - Balda "&amp;N195&amp;O195))</x:f>
      </x:c>
      <x:c r="Q195" s="37"/>
      <x:c r="R195" s="37"/>
      <x:c r="S195" s="49"/>
      <x:c r="T195" s="37"/>
      <x:c r="U195" s="37"/>
      <x:c r="V195" s="37"/>
      <x:c r="W195" s="34"/>
      <x:c r="X195" s="52"/>
      <x:c r="Y195" s="61" t="str">
        <x:f>IF(A195="","",IF(COUNTIF($A$6:$A$605,A195)&gt;1,"DUPLICADO","OK"))</x:f>
      </x:c>
      <x:c r="Z195" s="61" t="str">
        <x:f>IF(A195="","",IF(C195="","FALTA TÍTULO",IF(E195="","FALTA ÁREA",IF(W195&lt;&gt;"Sí","PENDIENTE","LISTO"))))</x:f>
      </x:c>
    </x:row>
    <x:row r="196">
      <x:c r="A196" s="40"/>
      <x:c r="B196" s="40"/>
      <x:c r="C196" s="37"/>
      <x:c r="D196" s="37"/>
      <x:c r="E196" s="37"/>
      <x:c r="F196" s="43"/>
      <x:c r="G196" s="43"/>
      <x:c r="H196" s="43"/>
      <x:c r="I196" s="55" t="str">
        <x:f>IF(OR(F196="",G196="",H196=""),"",F196&amp;" "&amp;UPPER(G196)&amp;"."&amp;LOWER(H196))</x:f>
      </x:c>
      <x:c r="J196" s="37"/>
      <x:c r="K196" s="37"/>
      <x:c r="L196" s="46"/>
      <x:c r="M196" s="43"/>
      <x:c r="N196" s="43"/>
      <x:c r="O196" s="43"/>
      <x:c r="P196" s="58" t="str">
        <x:f>IF(N196="","","Estantería "&amp;N196&amp;IF(O196="",""," - Balda "&amp;N196&amp;O196))</x:f>
      </x:c>
      <x:c r="Q196" s="37"/>
      <x:c r="R196" s="37"/>
      <x:c r="S196" s="49"/>
      <x:c r="T196" s="37"/>
      <x:c r="U196" s="37"/>
      <x:c r="V196" s="37"/>
      <x:c r="W196" s="34"/>
      <x:c r="X196" s="52"/>
      <x:c r="Y196" s="61" t="str">
        <x:f>IF(A196="","",IF(COUNTIF($A$6:$A$605,A196)&gt;1,"DUPLICADO","OK"))</x:f>
      </x:c>
      <x:c r="Z196" s="61" t="str">
        <x:f>IF(A196="","",IF(C196="","FALTA TÍTULO",IF(E196="","FALTA ÁREA",IF(W196&lt;&gt;"Sí","PENDIENTE","LISTO"))))</x:f>
      </x:c>
    </x:row>
    <x:row r="197">
      <x:c r="A197" s="40"/>
      <x:c r="B197" s="40"/>
      <x:c r="C197" s="37"/>
      <x:c r="D197" s="37"/>
      <x:c r="E197" s="37"/>
      <x:c r="F197" s="43"/>
      <x:c r="G197" s="43"/>
      <x:c r="H197" s="43"/>
      <x:c r="I197" s="55" t="str">
        <x:f>IF(OR(F197="",G197="",H197=""),"",F197&amp;" "&amp;UPPER(G197)&amp;"."&amp;LOWER(H197))</x:f>
      </x:c>
      <x:c r="J197" s="37"/>
      <x:c r="K197" s="37"/>
      <x:c r="L197" s="46"/>
      <x:c r="M197" s="43"/>
      <x:c r="N197" s="43"/>
      <x:c r="O197" s="43"/>
      <x:c r="P197" s="58" t="str">
        <x:f>IF(N197="","","Estantería "&amp;N197&amp;IF(O197="",""," - Balda "&amp;N197&amp;O197))</x:f>
      </x:c>
      <x:c r="Q197" s="37"/>
      <x:c r="R197" s="37"/>
      <x:c r="S197" s="49"/>
      <x:c r="T197" s="37"/>
      <x:c r="U197" s="37"/>
      <x:c r="V197" s="37"/>
      <x:c r="W197" s="34"/>
      <x:c r="X197" s="52"/>
      <x:c r="Y197" s="61" t="str">
        <x:f>IF(A197="","",IF(COUNTIF($A$6:$A$605,A197)&gt;1,"DUPLICADO","OK"))</x:f>
      </x:c>
      <x:c r="Z197" s="61" t="str">
        <x:f>IF(A197="","",IF(C197="","FALTA TÍTULO",IF(E197="","FALTA ÁREA",IF(W197&lt;&gt;"Sí","PENDIENTE","LISTO"))))</x:f>
      </x:c>
    </x:row>
    <x:row r="198">
      <x:c r="A198" s="40"/>
      <x:c r="B198" s="40"/>
      <x:c r="C198" s="37"/>
      <x:c r="D198" s="37"/>
      <x:c r="E198" s="37"/>
      <x:c r="F198" s="43"/>
      <x:c r="G198" s="43"/>
      <x:c r="H198" s="43"/>
      <x:c r="I198" s="55" t="str">
        <x:f>IF(OR(F198="",G198="",H198=""),"",F198&amp;" "&amp;UPPER(G198)&amp;"."&amp;LOWER(H198))</x:f>
      </x:c>
      <x:c r="J198" s="37"/>
      <x:c r="K198" s="37"/>
      <x:c r="L198" s="46"/>
      <x:c r="M198" s="43"/>
      <x:c r="N198" s="43"/>
      <x:c r="O198" s="43"/>
      <x:c r="P198" s="58" t="str">
        <x:f>IF(N198="","","Estantería "&amp;N198&amp;IF(O198="",""," - Balda "&amp;N198&amp;O198))</x:f>
      </x:c>
      <x:c r="Q198" s="37"/>
      <x:c r="R198" s="37"/>
      <x:c r="S198" s="49"/>
      <x:c r="T198" s="37"/>
      <x:c r="U198" s="37"/>
      <x:c r="V198" s="37"/>
      <x:c r="W198" s="34"/>
      <x:c r="X198" s="52"/>
      <x:c r="Y198" s="61" t="str">
        <x:f>IF(A198="","",IF(COUNTIF($A$6:$A$605,A198)&gt;1,"DUPLICADO","OK"))</x:f>
      </x:c>
      <x:c r="Z198" s="61" t="str">
        <x:f>IF(A198="","",IF(C198="","FALTA TÍTULO",IF(E198="","FALTA ÁREA",IF(W198&lt;&gt;"Sí","PENDIENTE","LISTO"))))</x:f>
      </x:c>
    </x:row>
    <x:row r="199">
      <x:c r="A199" s="40"/>
      <x:c r="B199" s="40"/>
      <x:c r="C199" s="37"/>
      <x:c r="D199" s="37"/>
      <x:c r="E199" s="37"/>
      <x:c r="F199" s="43"/>
      <x:c r="G199" s="43"/>
      <x:c r="H199" s="43"/>
      <x:c r="I199" s="55" t="str">
        <x:f>IF(OR(F199="",G199="",H199=""),"",F199&amp;" "&amp;UPPER(G199)&amp;"."&amp;LOWER(H199))</x:f>
      </x:c>
      <x:c r="J199" s="37"/>
      <x:c r="K199" s="37"/>
      <x:c r="L199" s="46"/>
      <x:c r="M199" s="43"/>
      <x:c r="N199" s="43"/>
      <x:c r="O199" s="43"/>
      <x:c r="P199" s="58" t="str">
        <x:f>IF(N199="","","Estantería "&amp;N199&amp;IF(O199="",""," - Balda "&amp;N199&amp;O199))</x:f>
      </x:c>
      <x:c r="Q199" s="37"/>
      <x:c r="R199" s="37"/>
      <x:c r="S199" s="49"/>
      <x:c r="T199" s="37"/>
      <x:c r="U199" s="37"/>
      <x:c r="V199" s="37"/>
      <x:c r="W199" s="34"/>
      <x:c r="X199" s="52"/>
      <x:c r="Y199" s="61" t="str">
        <x:f>IF(A199="","",IF(COUNTIF($A$6:$A$605,A199)&gt;1,"DUPLICADO","OK"))</x:f>
      </x:c>
      <x:c r="Z199" s="61" t="str">
        <x:f>IF(A199="","",IF(C199="","FALTA TÍTULO",IF(E199="","FALTA ÁREA",IF(W199&lt;&gt;"Sí","PENDIENTE","LISTO"))))</x:f>
      </x:c>
    </x:row>
    <x:row r="200">
      <x:c r="A200" s="40"/>
      <x:c r="B200" s="40"/>
      <x:c r="C200" s="37"/>
      <x:c r="D200" s="37"/>
      <x:c r="E200" s="37"/>
      <x:c r="F200" s="43"/>
      <x:c r="G200" s="43"/>
      <x:c r="H200" s="43"/>
      <x:c r="I200" s="55" t="str">
        <x:f>IF(OR(F200="",G200="",H200=""),"",F200&amp;" "&amp;UPPER(G200)&amp;"."&amp;LOWER(H200))</x:f>
      </x:c>
      <x:c r="J200" s="37"/>
      <x:c r="K200" s="37"/>
      <x:c r="L200" s="46"/>
      <x:c r="M200" s="43"/>
      <x:c r="N200" s="43"/>
      <x:c r="O200" s="43"/>
      <x:c r="P200" s="58" t="str">
        <x:f>IF(N200="","","Estantería "&amp;N200&amp;IF(O200="",""," - Balda "&amp;N200&amp;O200))</x:f>
      </x:c>
      <x:c r="Q200" s="37"/>
      <x:c r="R200" s="37"/>
      <x:c r="S200" s="49"/>
      <x:c r="T200" s="37"/>
      <x:c r="U200" s="37"/>
      <x:c r="V200" s="37"/>
      <x:c r="W200" s="34"/>
      <x:c r="X200" s="52"/>
      <x:c r="Y200" s="61" t="str">
        <x:f>IF(A200="","",IF(COUNTIF($A$6:$A$605,A200)&gt;1,"DUPLICADO","OK"))</x:f>
      </x:c>
      <x:c r="Z200" s="61" t="str">
        <x:f>IF(A200="","",IF(C200="","FALTA TÍTULO",IF(E200="","FALTA ÁREA",IF(W200&lt;&gt;"Sí","PENDIENTE","LISTO"))))</x:f>
      </x:c>
    </x:row>
    <x:row r="201">
      <x:c r="A201" s="40"/>
      <x:c r="B201" s="40"/>
      <x:c r="C201" s="37"/>
      <x:c r="D201" s="37"/>
      <x:c r="E201" s="37"/>
      <x:c r="F201" s="43"/>
      <x:c r="G201" s="43"/>
      <x:c r="H201" s="43"/>
      <x:c r="I201" s="55" t="str">
        <x:f>IF(OR(F201="",G201="",H201=""),"",F201&amp;" "&amp;UPPER(G201)&amp;"."&amp;LOWER(H201))</x:f>
      </x:c>
      <x:c r="J201" s="37"/>
      <x:c r="K201" s="37"/>
      <x:c r="L201" s="46"/>
      <x:c r="M201" s="43"/>
      <x:c r="N201" s="43"/>
      <x:c r="O201" s="43"/>
      <x:c r="P201" s="58" t="str">
        <x:f>IF(N201="","","Estantería "&amp;N201&amp;IF(O201="",""," - Balda "&amp;N201&amp;O201))</x:f>
      </x:c>
      <x:c r="Q201" s="37"/>
      <x:c r="R201" s="37"/>
      <x:c r="S201" s="49"/>
      <x:c r="T201" s="37"/>
      <x:c r="U201" s="37"/>
      <x:c r="V201" s="37"/>
      <x:c r="W201" s="34"/>
      <x:c r="X201" s="52"/>
      <x:c r="Y201" s="61" t="str">
        <x:f>IF(A201="","",IF(COUNTIF($A$6:$A$605,A201)&gt;1,"DUPLICADO","OK"))</x:f>
      </x:c>
      <x:c r="Z201" s="61" t="str">
        <x:f>IF(A201="","",IF(C201="","FALTA TÍTULO",IF(E201="","FALTA ÁREA",IF(W201&lt;&gt;"Sí","PENDIENTE","LISTO"))))</x:f>
      </x:c>
    </x:row>
    <x:row r="202">
      <x:c r="A202" s="40"/>
      <x:c r="B202" s="40"/>
      <x:c r="C202" s="37"/>
      <x:c r="D202" s="37"/>
      <x:c r="E202" s="37"/>
      <x:c r="F202" s="43"/>
      <x:c r="G202" s="43"/>
      <x:c r="H202" s="43"/>
      <x:c r="I202" s="55" t="str">
        <x:f>IF(OR(F202="",G202="",H202=""),"",F202&amp;" "&amp;UPPER(G202)&amp;"."&amp;LOWER(H202))</x:f>
      </x:c>
      <x:c r="J202" s="37"/>
      <x:c r="K202" s="37"/>
      <x:c r="L202" s="46"/>
      <x:c r="M202" s="43"/>
      <x:c r="N202" s="43"/>
      <x:c r="O202" s="43"/>
      <x:c r="P202" s="58" t="str">
        <x:f>IF(N202="","","Estantería "&amp;N202&amp;IF(O202="",""," - Balda "&amp;N202&amp;O202))</x:f>
      </x:c>
      <x:c r="Q202" s="37"/>
      <x:c r="R202" s="37"/>
      <x:c r="S202" s="49"/>
      <x:c r="T202" s="37"/>
      <x:c r="U202" s="37"/>
      <x:c r="V202" s="37"/>
      <x:c r="W202" s="34"/>
      <x:c r="X202" s="52"/>
      <x:c r="Y202" s="61" t="str">
        <x:f>IF(A202="","",IF(COUNTIF($A$6:$A$605,A202)&gt;1,"DUPLICADO","OK"))</x:f>
      </x:c>
      <x:c r="Z202" s="61" t="str">
        <x:f>IF(A202="","",IF(C202="","FALTA TÍTULO",IF(E202="","FALTA ÁREA",IF(W202&lt;&gt;"Sí","PENDIENTE","LISTO"))))</x:f>
      </x:c>
    </x:row>
    <x:row r="203">
      <x:c r="A203" s="40"/>
      <x:c r="B203" s="40"/>
      <x:c r="C203" s="37"/>
      <x:c r="D203" s="37"/>
      <x:c r="E203" s="37"/>
      <x:c r="F203" s="43"/>
      <x:c r="G203" s="43"/>
      <x:c r="H203" s="43"/>
      <x:c r="I203" s="55" t="str">
        <x:f>IF(OR(F203="",G203="",H203=""),"",F203&amp;" "&amp;UPPER(G203)&amp;"."&amp;LOWER(H203))</x:f>
      </x:c>
      <x:c r="J203" s="37"/>
      <x:c r="K203" s="37"/>
      <x:c r="L203" s="46"/>
      <x:c r="M203" s="43"/>
      <x:c r="N203" s="43"/>
      <x:c r="O203" s="43"/>
      <x:c r="P203" s="58" t="str">
        <x:f>IF(N203="","","Estantería "&amp;N203&amp;IF(O203="",""," - Balda "&amp;N203&amp;O203))</x:f>
      </x:c>
      <x:c r="Q203" s="37"/>
      <x:c r="R203" s="37"/>
      <x:c r="S203" s="49"/>
      <x:c r="T203" s="37"/>
      <x:c r="U203" s="37"/>
      <x:c r="V203" s="37"/>
      <x:c r="W203" s="34"/>
      <x:c r="X203" s="52"/>
      <x:c r="Y203" s="61" t="str">
        <x:f>IF(A203="","",IF(COUNTIF($A$6:$A$605,A203)&gt;1,"DUPLICADO","OK"))</x:f>
      </x:c>
      <x:c r="Z203" s="61" t="str">
        <x:f>IF(A203="","",IF(C203="","FALTA TÍTULO",IF(E203="","FALTA ÁREA",IF(W203&lt;&gt;"Sí","PENDIENTE","LISTO"))))</x:f>
      </x:c>
    </x:row>
    <x:row r="204">
      <x:c r="A204" s="40"/>
      <x:c r="B204" s="40"/>
      <x:c r="C204" s="37"/>
      <x:c r="D204" s="37"/>
      <x:c r="E204" s="37"/>
      <x:c r="F204" s="43"/>
      <x:c r="G204" s="43"/>
      <x:c r="H204" s="43"/>
      <x:c r="I204" s="55" t="str">
        <x:f>IF(OR(F204="",G204="",H204=""),"",F204&amp;" "&amp;UPPER(G204)&amp;"."&amp;LOWER(H204))</x:f>
      </x:c>
      <x:c r="J204" s="37"/>
      <x:c r="K204" s="37"/>
      <x:c r="L204" s="46"/>
      <x:c r="M204" s="43"/>
      <x:c r="N204" s="43"/>
      <x:c r="O204" s="43"/>
      <x:c r="P204" s="58" t="str">
        <x:f>IF(N204="","","Estantería "&amp;N204&amp;IF(O204="",""," - Balda "&amp;N204&amp;O204))</x:f>
      </x:c>
      <x:c r="Q204" s="37"/>
      <x:c r="R204" s="37"/>
      <x:c r="S204" s="49"/>
      <x:c r="T204" s="37"/>
      <x:c r="U204" s="37"/>
      <x:c r="V204" s="37"/>
      <x:c r="W204" s="34"/>
      <x:c r="X204" s="52"/>
      <x:c r="Y204" s="61" t="str">
        <x:f>IF(A204="","",IF(COUNTIF($A$6:$A$605,A204)&gt;1,"DUPLICADO","OK"))</x:f>
      </x:c>
      <x:c r="Z204" s="61" t="str">
        <x:f>IF(A204="","",IF(C204="","FALTA TÍTULO",IF(E204="","FALTA ÁREA",IF(W204&lt;&gt;"Sí","PENDIENTE","LISTO"))))</x:f>
      </x:c>
    </x:row>
    <x:row r="205">
      <x:c r="A205" s="40"/>
      <x:c r="B205" s="40"/>
      <x:c r="C205" s="37"/>
      <x:c r="D205" s="37"/>
      <x:c r="E205" s="37"/>
      <x:c r="F205" s="43"/>
      <x:c r="G205" s="43"/>
      <x:c r="H205" s="43"/>
      <x:c r="I205" s="55" t="str">
        <x:f>IF(OR(F205="",G205="",H205=""),"",F205&amp;" "&amp;UPPER(G205)&amp;"."&amp;LOWER(H205))</x:f>
      </x:c>
      <x:c r="J205" s="37"/>
      <x:c r="K205" s="37"/>
      <x:c r="L205" s="46"/>
      <x:c r="M205" s="43"/>
      <x:c r="N205" s="43"/>
      <x:c r="O205" s="43"/>
      <x:c r="P205" s="58" t="str">
        <x:f>IF(N205="","","Estantería "&amp;N205&amp;IF(O205="",""," - Balda "&amp;N205&amp;O205))</x:f>
      </x:c>
      <x:c r="Q205" s="37"/>
      <x:c r="R205" s="37"/>
      <x:c r="S205" s="49"/>
      <x:c r="T205" s="37"/>
      <x:c r="U205" s="37"/>
      <x:c r="V205" s="37"/>
      <x:c r="W205" s="34"/>
      <x:c r="X205" s="52"/>
      <x:c r="Y205" s="61" t="str">
        <x:f>IF(A205="","",IF(COUNTIF($A$6:$A$605,A205)&gt;1,"DUPLICADO","OK"))</x:f>
      </x:c>
      <x:c r="Z205" s="61" t="str">
        <x:f>IF(A205="","",IF(C205="","FALTA TÍTULO",IF(E205="","FALTA ÁREA",IF(W205&lt;&gt;"Sí","PENDIENTE","LISTO"))))</x:f>
      </x:c>
    </x:row>
    <x:row r="206">
      <x:c r="A206" s="40"/>
      <x:c r="B206" s="40"/>
      <x:c r="C206" s="37"/>
      <x:c r="D206" s="37"/>
      <x:c r="E206" s="37"/>
      <x:c r="F206" s="43"/>
      <x:c r="G206" s="43"/>
      <x:c r="H206" s="43"/>
      <x:c r="I206" s="55" t="str">
        <x:f>IF(OR(F206="",G206="",H206=""),"",F206&amp;" "&amp;UPPER(G206)&amp;"."&amp;LOWER(H206))</x:f>
      </x:c>
      <x:c r="J206" s="37"/>
      <x:c r="K206" s="37"/>
      <x:c r="L206" s="46"/>
      <x:c r="M206" s="43"/>
      <x:c r="N206" s="43"/>
      <x:c r="O206" s="43"/>
      <x:c r="P206" s="58" t="str">
        <x:f>IF(N206="","","Estantería "&amp;N206&amp;IF(O206="",""," - Balda "&amp;N206&amp;O206))</x:f>
      </x:c>
      <x:c r="Q206" s="37"/>
      <x:c r="R206" s="37"/>
      <x:c r="S206" s="49"/>
      <x:c r="T206" s="37"/>
      <x:c r="U206" s="37"/>
      <x:c r="V206" s="37"/>
      <x:c r="W206" s="34"/>
      <x:c r="X206" s="52"/>
      <x:c r="Y206" s="61" t="str">
        <x:f>IF(A206="","",IF(COUNTIF($A$6:$A$605,A206)&gt;1,"DUPLICADO","OK"))</x:f>
      </x:c>
      <x:c r="Z206" s="61" t="str">
        <x:f>IF(A206="","",IF(C206="","FALTA TÍTULO",IF(E206="","FALTA ÁREA",IF(W206&lt;&gt;"Sí","PENDIENTE","LISTO"))))</x:f>
      </x:c>
    </x:row>
    <x:row r="207">
      <x:c r="A207" s="40"/>
      <x:c r="B207" s="40"/>
      <x:c r="C207" s="37"/>
      <x:c r="D207" s="37"/>
      <x:c r="E207" s="37"/>
      <x:c r="F207" s="43"/>
      <x:c r="G207" s="43"/>
      <x:c r="H207" s="43"/>
      <x:c r="I207" s="55" t="str">
        <x:f>IF(OR(F207="",G207="",H207=""),"",F207&amp;" "&amp;UPPER(G207)&amp;"."&amp;LOWER(H207))</x:f>
      </x:c>
      <x:c r="J207" s="37"/>
      <x:c r="K207" s="37"/>
      <x:c r="L207" s="46"/>
      <x:c r="M207" s="43"/>
      <x:c r="N207" s="43"/>
      <x:c r="O207" s="43"/>
      <x:c r="P207" s="58" t="str">
        <x:f>IF(N207="","","Estantería "&amp;N207&amp;IF(O207="",""," - Balda "&amp;N207&amp;O207))</x:f>
      </x:c>
      <x:c r="Q207" s="37"/>
      <x:c r="R207" s="37"/>
      <x:c r="S207" s="49"/>
      <x:c r="T207" s="37"/>
      <x:c r="U207" s="37"/>
      <x:c r="V207" s="37"/>
      <x:c r="W207" s="34"/>
      <x:c r="X207" s="52"/>
      <x:c r="Y207" s="61" t="str">
        <x:f>IF(A207="","",IF(COUNTIF($A$6:$A$605,A207)&gt;1,"DUPLICADO","OK"))</x:f>
      </x:c>
      <x:c r="Z207" s="61" t="str">
        <x:f>IF(A207="","",IF(C207="","FALTA TÍTULO",IF(E207="","FALTA ÁREA",IF(W207&lt;&gt;"Sí","PENDIENTE","LISTO"))))</x:f>
      </x:c>
    </x:row>
    <x:row r="208">
      <x:c r="A208" s="40"/>
      <x:c r="B208" s="40"/>
      <x:c r="C208" s="37"/>
      <x:c r="D208" s="37"/>
      <x:c r="E208" s="37"/>
      <x:c r="F208" s="43"/>
      <x:c r="G208" s="43"/>
      <x:c r="H208" s="43"/>
      <x:c r="I208" s="55" t="str">
        <x:f>IF(OR(F208="",G208="",H208=""),"",F208&amp;" "&amp;UPPER(G208)&amp;"."&amp;LOWER(H208))</x:f>
      </x:c>
      <x:c r="J208" s="37"/>
      <x:c r="K208" s="37"/>
      <x:c r="L208" s="46"/>
      <x:c r="M208" s="43"/>
      <x:c r="N208" s="43"/>
      <x:c r="O208" s="43"/>
      <x:c r="P208" s="58" t="str">
        <x:f>IF(N208="","","Estantería "&amp;N208&amp;IF(O208="",""," - Balda "&amp;N208&amp;O208))</x:f>
      </x:c>
      <x:c r="Q208" s="37"/>
      <x:c r="R208" s="37"/>
      <x:c r="S208" s="49"/>
      <x:c r="T208" s="37"/>
      <x:c r="U208" s="37"/>
      <x:c r="V208" s="37"/>
      <x:c r="W208" s="34"/>
      <x:c r="X208" s="52"/>
      <x:c r="Y208" s="61" t="str">
        <x:f>IF(A208="","",IF(COUNTIF($A$6:$A$605,A208)&gt;1,"DUPLICADO","OK"))</x:f>
      </x:c>
      <x:c r="Z208" s="61" t="str">
        <x:f>IF(A208="","",IF(C208="","FALTA TÍTULO",IF(E208="","FALTA ÁREA",IF(W208&lt;&gt;"Sí","PENDIENTE","LISTO"))))</x:f>
      </x:c>
    </x:row>
    <x:row r="209">
      <x:c r="A209" s="40"/>
      <x:c r="B209" s="40"/>
      <x:c r="C209" s="37"/>
      <x:c r="D209" s="37"/>
      <x:c r="E209" s="37"/>
      <x:c r="F209" s="43"/>
      <x:c r="G209" s="43"/>
      <x:c r="H209" s="43"/>
      <x:c r="I209" s="55" t="str">
        <x:f>IF(OR(F209="",G209="",H209=""),"",F209&amp;" "&amp;UPPER(G209)&amp;"."&amp;LOWER(H209))</x:f>
      </x:c>
      <x:c r="J209" s="37"/>
      <x:c r="K209" s="37"/>
      <x:c r="L209" s="46"/>
      <x:c r="M209" s="43"/>
      <x:c r="N209" s="43"/>
      <x:c r="O209" s="43"/>
      <x:c r="P209" s="58" t="str">
        <x:f>IF(N209="","","Estantería "&amp;N209&amp;IF(O209="",""," - Balda "&amp;N209&amp;O209))</x:f>
      </x:c>
      <x:c r="Q209" s="37"/>
      <x:c r="R209" s="37"/>
      <x:c r="S209" s="49"/>
      <x:c r="T209" s="37"/>
      <x:c r="U209" s="37"/>
      <x:c r="V209" s="37"/>
      <x:c r="W209" s="34"/>
      <x:c r="X209" s="52"/>
      <x:c r="Y209" s="61" t="str">
        <x:f>IF(A209="","",IF(COUNTIF($A$6:$A$605,A209)&gt;1,"DUPLICADO","OK"))</x:f>
      </x:c>
      <x:c r="Z209" s="61" t="str">
        <x:f>IF(A209="","",IF(C209="","FALTA TÍTULO",IF(E209="","FALTA ÁREA",IF(W209&lt;&gt;"Sí","PENDIENTE","LISTO"))))</x:f>
      </x:c>
    </x:row>
    <x:row r="210">
      <x:c r="A210" s="40"/>
      <x:c r="B210" s="40"/>
      <x:c r="C210" s="37"/>
      <x:c r="D210" s="37"/>
      <x:c r="E210" s="37"/>
      <x:c r="F210" s="43"/>
      <x:c r="G210" s="43"/>
      <x:c r="H210" s="43"/>
      <x:c r="I210" s="55" t="str">
        <x:f>IF(OR(F210="",G210="",H210=""),"",F210&amp;" "&amp;UPPER(G210)&amp;"."&amp;LOWER(H210))</x:f>
      </x:c>
      <x:c r="J210" s="37"/>
      <x:c r="K210" s="37"/>
      <x:c r="L210" s="46"/>
      <x:c r="M210" s="43"/>
      <x:c r="N210" s="43"/>
      <x:c r="O210" s="43"/>
      <x:c r="P210" s="58" t="str">
        <x:f>IF(N210="","","Estantería "&amp;N210&amp;IF(O210="",""," - Balda "&amp;N210&amp;O210))</x:f>
      </x:c>
      <x:c r="Q210" s="37"/>
      <x:c r="R210" s="37"/>
      <x:c r="S210" s="49"/>
      <x:c r="T210" s="37"/>
      <x:c r="U210" s="37"/>
      <x:c r="V210" s="37"/>
      <x:c r="W210" s="34"/>
      <x:c r="X210" s="52"/>
      <x:c r="Y210" s="61" t="str">
        <x:f>IF(A210="","",IF(COUNTIF($A$6:$A$605,A210)&gt;1,"DUPLICADO","OK"))</x:f>
      </x:c>
      <x:c r="Z210" s="61" t="str">
        <x:f>IF(A210="","",IF(C210="","FALTA TÍTULO",IF(E210="","FALTA ÁREA",IF(W210&lt;&gt;"Sí","PENDIENTE","LISTO"))))</x:f>
      </x:c>
    </x:row>
    <x:row r="211">
      <x:c r="A211" s="40"/>
      <x:c r="B211" s="40"/>
      <x:c r="C211" s="37"/>
      <x:c r="D211" s="37"/>
      <x:c r="E211" s="37"/>
      <x:c r="F211" s="43"/>
      <x:c r="G211" s="43"/>
      <x:c r="H211" s="43"/>
      <x:c r="I211" s="55" t="str">
        <x:f>IF(OR(F211="",G211="",H211=""),"",F211&amp;" "&amp;UPPER(G211)&amp;"."&amp;LOWER(H211))</x:f>
      </x:c>
      <x:c r="J211" s="37"/>
      <x:c r="K211" s="37"/>
      <x:c r="L211" s="46"/>
      <x:c r="M211" s="43"/>
      <x:c r="N211" s="43"/>
      <x:c r="O211" s="43"/>
      <x:c r="P211" s="58" t="str">
        <x:f>IF(N211="","","Estantería "&amp;N211&amp;IF(O211="",""," - Balda "&amp;N211&amp;O211))</x:f>
      </x:c>
      <x:c r="Q211" s="37"/>
      <x:c r="R211" s="37"/>
      <x:c r="S211" s="49"/>
      <x:c r="T211" s="37"/>
      <x:c r="U211" s="37"/>
      <x:c r="V211" s="37"/>
      <x:c r="W211" s="34"/>
      <x:c r="X211" s="52"/>
      <x:c r="Y211" s="61" t="str">
        <x:f>IF(A211="","",IF(COUNTIF($A$6:$A$605,A211)&gt;1,"DUPLICADO","OK"))</x:f>
      </x:c>
      <x:c r="Z211" s="61" t="str">
        <x:f>IF(A211="","",IF(C211="","FALTA TÍTULO",IF(E211="","FALTA ÁREA",IF(W211&lt;&gt;"Sí","PENDIENTE","LISTO"))))</x:f>
      </x:c>
    </x:row>
    <x:row r="212">
      <x:c r="A212" s="40"/>
      <x:c r="B212" s="40"/>
      <x:c r="C212" s="37"/>
      <x:c r="D212" s="37"/>
      <x:c r="E212" s="37"/>
      <x:c r="F212" s="43"/>
      <x:c r="G212" s="43"/>
      <x:c r="H212" s="43"/>
      <x:c r="I212" s="55" t="str">
        <x:f>IF(OR(F212="",G212="",H212=""),"",F212&amp;" "&amp;UPPER(G212)&amp;"."&amp;LOWER(H212))</x:f>
      </x:c>
      <x:c r="J212" s="37"/>
      <x:c r="K212" s="37"/>
      <x:c r="L212" s="46"/>
      <x:c r="M212" s="43"/>
      <x:c r="N212" s="43"/>
      <x:c r="O212" s="43"/>
      <x:c r="P212" s="58" t="str">
        <x:f>IF(N212="","","Estantería "&amp;N212&amp;IF(O212="",""," - Balda "&amp;N212&amp;O212))</x:f>
      </x:c>
      <x:c r="Q212" s="37"/>
      <x:c r="R212" s="37"/>
      <x:c r="S212" s="49"/>
      <x:c r="T212" s="37"/>
      <x:c r="U212" s="37"/>
      <x:c r="V212" s="37"/>
      <x:c r="W212" s="34"/>
      <x:c r="X212" s="52"/>
      <x:c r="Y212" s="61" t="str">
        <x:f>IF(A212="","",IF(COUNTIF($A$6:$A$605,A212)&gt;1,"DUPLICADO","OK"))</x:f>
      </x:c>
      <x:c r="Z212" s="61" t="str">
        <x:f>IF(A212="","",IF(C212="","FALTA TÍTULO",IF(E212="","FALTA ÁREA",IF(W212&lt;&gt;"Sí","PENDIENTE","LISTO"))))</x:f>
      </x:c>
    </x:row>
    <x:row r="213">
      <x:c r="A213" s="40"/>
      <x:c r="B213" s="40"/>
      <x:c r="C213" s="37"/>
      <x:c r="D213" s="37"/>
      <x:c r="E213" s="37"/>
      <x:c r="F213" s="43"/>
      <x:c r="G213" s="43"/>
      <x:c r="H213" s="43"/>
      <x:c r="I213" s="55" t="str">
        <x:f>IF(OR(F213="",G213="",H213=""),"",F213&amp;" "&amp;UPPER(G213)&amp;"."&amp;LOWER(H213))</x:f>
      </x:c>
      <x:c r="J213" s="37"/>
      <x:c r="K213" s="37"/>
      <x:c r="L213" s="46"/>
      <x:c r="M213" s="43"/>
      <x:c r="N213" s="43"/>
      <x:c r="O213" s="43"/>
      <x:c r="P213" s="58" t="str">
        <x:f>IF(N213="","","Estantería "&amp;N213&amp;IF(O213="",""," - Balda "&amp;N213&amp;O213))</x:f>
      </x:c>
      <x:c r="Q213" s="37"/>
      <x:c r="R213" s="37"/>
      <x:c r="S213" s="49"/>
      <x:c r="T213" s="37"/>
      <x:c r="U213" s="37"/>
      <x:c r="V213" s="37"/>
      <x:c r="W213" s="34"/>
      <x:c r="X213" s="52"/>
      <x:c r="Y213" s="61" t="str">
        <x:f>IF(A213="","",IF(COUNTIF($A$6:$A$605,A213)&gt;1,"DUPLICADO","OK"))</x:f>
      </x:c>
      <x:c r="Z213" s="61" t="str">
        <x:f>IF(A213="","",IF(C213="","FALTA TÍTULO",IF(E213="","FALTA ÁREA",IF(W213&lt;&gt;"Sí","PENDIENTE","LISTO"))))</x:f>
      </x:c>
    </x:row>
    <x:row r="214">
      <x:c r="A214" s="40"/>
      <x:c r="B214" s="40"/>
      <x:c r="C214" s="37"/>
      <x:c r="D214" s="37"/>
      <x:c r="E214" s="37"/>
      <x:c r="F214" s="43"/>
      <x:c r="G214" s="43"/>
      <x:c r="H214" s="43"/>
      <x:c r="I214" s="55" t="str">
        <x:f>IF(OR(F214="",G214="",H214=""),"",F214&amp;" "&amp;UPPER(G214)&amp;"."&amp;LOWER(H214))</x:f>
      </x:c>
      <x:c r="J214" s="37"/>
      <x:c r="K214" s="37"/>
      <x:c r="L214" s="46"/>
      <x:c r="M214" s="43"/>
      <x:c r="N214" s="43"/>
      <x:c r="O214" s="43"/>
      <x:c r="P214" s="58" t="str">
        <x:f>IF(N214="","","Estantería "&amp;N214&amp;IF(O214="",""," - Balda "&amp;N214&amp;O214))</x:f>
      </x:c>
      <x:c r="Q214" s="37"/>
      <x:c r="R214" s="37"/>
      <x:c r="S214" s="49"/>
      <x:c r="T214" s="37"/>
      <x:c r="U214" s="37"/>
      <x:c r="V214" s="37"/>
      <x:c r="W214" s="34"/>
      <x:c r="X214" s="52"/>
      <x:c r="Y214" s="61" t="str">
        <x:f>IF(A214="","",IF(COUNTIF($A$6:$A$605,A214)&gt;1,"DUPLICADO","OK"))</x:f>
      </x:c>
      <x:c r="Z214" s="61" t="str">
        <x:f>IF(A214="","",IF(C214="","FALTA TÍTULO",IF(E214="","FALTA ÁREA",IF(W214&lt;&gt;"Sí","PENDIENTE","LISTO"))))</x:f>
      </x:c>
    </x:row>
    <x:row r="215">
      <x:c r="A215" s="40"/>
      <x:c r="B215" s="40"/>
      <x:c r="C215" s="37"/>
      <x:c r="D215" s="37"/>
      <x:c r="E215" s="37"/>
      <x:c r="F215" s="43"/>
      <x:c r="G215" s="43"/>
      <x:c r="H215" s="43"/>
      <x:c r="I215" s="55" t="str">
        <x:f>IF(OR(F215="",G215="",H215=""),"",F215&amp;" "&amp;UPPER(G215)&amp;"."&amp;LOWER(H215))</x:f>
      </x:c>
      <x:c r="J215" s="37"/>
      <x:c r="K215" s="37"/>
      <x:c r="L215" s="46"/>
      <x:c r="M215" s="43"/>
      <x:c r="N215" s="43"/>
      <x:c r="O215" s="43"/>
      <x:c r="P215" s="58" t="str">
        <x:f>IF(N215="","","Estantería "&amp;N215&amp;IF(O215="",""," - Balda "&amp;N215&amp;O215))</x:f>
      </x:c>
      <x:c r="Q215" s="37"/>
      <x:c r="R215" s="37"/>
      <x:c r="S215" s="49"/>
      <x:c r="T215" s="37"/>
      <x:c r="U215" s="37"/>
      <x:c r="V215" s="37"/>
      <x:c r="W215" s="34"/>
      <x:c r="X215" s="52"/>
      <x:c r="Y215" s="61" t="str">
        <x:f>IF(A215="","",IF(COUNTIF($A$6:$A$605,A215)&gt;1,"DUPLICADO","OK"))</x:f>
      </x:c>
      <x:c r="Z215" s="61" t="str">
        <x:f>IF(A215="","",IF(C215="","FALTA TÍTULO",IF(E215="","FALTA ÁREA",IF(W215&lt;&gt;"Sí","PENDIENTE","LISTO"))))</x:f>
      </x:c>
    </x:row>
    <x:row r="216">
      <x:c r="A216" s="40"/>
      <x:c r="B216" s="40"/>
      <x:c r="C216" s="37"/>
      <x:c r="D216" s="37"/>
      <x:c r="E216" s="37"/>
      <x:c r="F216" s="43"/>
      <x:c r="G216" s="43"/>
      <x:c r="H216" s="43"/>
      <x:c r="I216" s="55" t="str">
        <x:f>IF(OR(F216="",G216="",H216=""),"",F216&amp;" "&amp;UPPER(G216)&amp;"."&amp;LOWER(H216))</x:f>
      </x:c>
      <x:c r="J216" s="37"/>
      <x:c r="K216" s="37"/>
      <x:c r="L216" s="46"/>
      <x:c r="M216" s="43"/>
      <x:c r="N216" s="43"/>
      <x:c r="O216" s="43"/>
      <x:c r="P216" s="58" t="str">
        <x:f>IF(N216="","","Estantería "&amp;N216&amp;IF(O216="",""," - Balda "&amp;N216&amp;O216))</x:f>
      </x:c>
      <x:c r="Q216" s="37"/>
      <x:c r="R216" s="37"/>
      <x:c r="S216" s="49"/>
      <x:c r="T216" s="37"/>
      <x:c r="U216" s="37"/>
      <x:c r="V216" s="37"/>
      <x:c r="W216" s="34"/>
      <x:c r="X216" s="52"/>
      <x:c r="Y216" s="61" t="str">
        <x:f>IF(A216="","",IF(COUNTIF($A$6:$A$605,A216)&gt;1,"DUPLICADO","OK"))</x:f>
      </x:c>
      <x:c r="Z216" s="61" t="str">
        <x:f>IF(A216="","",IF(C216="","FALTA TÍTULO",IF(E216="","FALTA ÁREA",IF(W216&lt;&gt;"Sí","PENDIENTE","LISTO"))))</x:f>
      </x:c>
    </x:row>
    <x:row r="217">
      <x:c r="A217" s="40"/>
      <x:c r="B217" s="40"/>
      <x:c r="C217" s="37"/>
      <x:c r="D217" s="37"/>
      <x:c r="E217" s="37"/>
      <x:c r="F217" s="43"/>
      <x:c r="G217" s="43"/>
      <x:c r="H217" s="43"/>
      <x:c r="I217" s="55" t="str">
        <x:f>IF(OR(F217="",G217="",H217=""),"",F217&amp;" "&amp;UPPER(G217)&amp;"."&amp;LOWER(H217))</x:f>
      </x:c>
      <x:c r="J217" s="37"/>
      <x:c r="K217" s="37"/>
      <x:c r="L217" s="46"/>
      <x:c r="M217" s="43"/>
      <x:c r="N217" s="43"/>
      <x:c r="O217" s="43"/>
      <x:c r="P217" s="58" t="str">
        <x:f>IF(N217="","","Estantería "&amp;N217&amp;IF(O217="",""," - Balda "&amp;N217&amp;O217))</x:f>
      </x:c>
      <x:c r="Q217" s="37"/>
      <x:c r="R217" s="37"/>
      <x:c r="S217" s="49"/>
      <x:c r="T217" s="37"/>
      <x:c r="U217" s="37"/>
      <x:c r="V217" s="37"/>
      <x:c r="W217" s="34"/>
      <x:c r="X217" s="52"/>
      <x:c r="Y217" s="61" t="str">
        <x:f>IF(A217="","",IF(COUNTIF($A$6:$A$605,A217)&gt;1,"DUPLICADO","OK"))</x:f>
      </x:c>
      <x:c r="Z217" s="61" t="str">
        <x:f>IF(A217="","",IF(C217="","FALTA TÍTULO",IF(E217="","FALTA ÁREA",IF(W217&lt;&gt;"Sí","PENDIENTE","LISTO"))))</x:f>
      </x:c>
    </x:row>
    <x:row r="218">
      <x:c r="A218" s="40"/>
      <x:c r="B218" s="40"/>
      <x:c r="C218" s="37"/>
      <x:c r="D218" s="37"/>
      <x:c r="E218" s="37"/>
      <x:c r="F218" s="43"/>
      <x:c r="G218" s="43"/>
      <x:c r="H218" s="43"/>
      <x:c r="I218" s="55" t="str">
        <x:f>IF(OR(F218="",G218="",H218=""),"",F218&amp;" "&amp;UPPER(G218)&amp;"."&amp;LOWER(H218))</x:f>
      </x:c>
      <x:c r="J218" s="37"/>
      <x:c r="K218" s="37"/>
      <x:c r="L218" s="46"/>
      <x:c r="M218" s="43"/>
      <x:c r="N218" s="43"/>
      <x:c r="O218" s="43"/>
      <x:c r="P218" s="58" t="str">
        <x:f>IF(N218="","","Estantería "&amp;N218&amp;IF(O218="",""," - Balda "&amp;N218&amp;O218))</x:f>
      </x:c>
      <x:c r="Q218" s="37"/>
      <x:c r="R218" s="37"/>
      <x:c r="S218" s="49"/>
      <x:c r="T218" s="37"/>
      <x:c r="U218" s="37"/>
      <x:c r="V218" s="37"/>
      <x:c r="W218" s="34"/>
      <x:c r="X218" s="52"/>
      <x:c r="Y218" s="61" t="str">
        <x:f>IF(A218="","",IF(COUNTIF($A$6:$A$605,A218)&gt;1,"DUPLICADO","OK"))</x:f>
      </x:c>
      <x:c r="Z218" s="61" t="str">
        <x:f>IF(A218="","",IF(C218="","FALTA TÍTULO",IF(E218="","FALTA ÁREA",IF(W218&lt;&gt;"Sí","PENDIENTE","LISTO"))))</x:f>
      </x:c>
    </x:row>
    <x:row r="219">
      <x:c r="A219" s="40"/>
      <x:c r="B219" s="40"/>
      <x:c r="C219" s="37"/>
      <x:c r="D219" s="37"/>
      <x:c r="E219" s="37"/>
      <x:c r="F219" s="43"/>
      <x:c r="G219" s="43"/>
      <x:c r="H219" s="43"/>
      <x:c r="I219" s="55" t="str">
        <x:f>IF(OR(F219="",G219="",H219=""),"",F219&amp;" "&amp;UPPER(G219)&amp;"."&amp;LOWER(H219))</x:f>
      </x:c>
      <x:c r="J219" s="37"/>
      <x:c r="K219" s="37"/>
      <x:c r="L219" s="46"/>
      <x:c r="M219" s="43"/>
      <x:c r="N219" s="43"/>
      <x:c r="O219" s="43"/>
      <x:c r="P219" s="58" t="str">
        <x:f>IF(N219="","","Estantería "&amp;N219&amp;IF(O219="",""," - Balda "&amp;N219&amp;O219))</x:f>
      </x:c>
      <x:c r="Q219" s="37"/>
      <x:c r="R219" s="37"/>
      <x:c r="S219" s="49"/>
      <x:c r="T219" s="37"/>
      <x:c r="U219" s="37"/>
      <x:c r="V219" s="37"/>
      <x:c r="W219" s="34"/>
      <x:c r="X219" s="52"/>
      <x:c r="Y219" s="61" t="str">
        <x:f>IF(A219="","",IF(COUNTIF($A$6:$A$605,A219)&gt;1,"DUPLICADO","OK"))</x:f>
      </x:c>
      <x:c r="Z219" s="61" t="str">
        <x:f>IF(A219="","",IF(C219="","FALTA TÍTULO",IF(E219="","FALTA ÁREA",IF(W219&lt;&gt;"Sí","PENDIENTE","LISTO"))))</x:f>
      </x:c>
    </x:row>
    <x:row r="220">
      <x:c r="A220" s="40"/>
      <x:c r="B220" s="40"/>
      <x:c r="C220" s="37"/>
      <x:c r="D220" s="37"/>
      <x:c r="E220" s="37"/>
      <x:c r="F220" s="43"/>
      <x:c r="G220" s="43"/>
      <x:c r="H220" s="43"/>
      <x:c r="I220" s="55" t="str">
        <x:f>IF(OR(F220="",G220="",H220=""),"",F220&amp;" "&amp;UPPER(G220)&amp;"."&amp;LOWER(H220))</x:f>
      </x:c>
      <x:c r="J220" s="37"/>
      <x:c r="K220" s="37"/>
      <x:c r="L220" s="46"/>
      <x:c r="M220" s="43"/>
      <x:c r="N220" s="43"/>
      <x:c r="O220" s="43"/>
      <x:c r="P220" s="58" t="str">
        <x:f>IF(N220="","","Estantería "&amp;N220&amp;IF(O220="",""," - Balda "&amp;N220&amp;O220))</x:f>
      </x:c>
      <x:c r="Q220" s="37"/>
      <x:c r="R220" s="37"/>
      <x:c r="S220" s="49"/>
      <x:c r="T220" s="37"/>
      <x:c r="U220" s="37"/>
      <x:c r="V220" s="37"/>
      <x:c r="W220" s="34"/>
      <x:c r="X220" s="52"/>
      <x:c r="Y220" s="61" t="str">
        <x:f>IF(A220="","",IF(COUNTIF($A$6:$A$605,A220)&gt;1,"DUPLICADO","OK"))</x:f>
      </x:c>
      <x:c r="Z220" s="61" t="str">
        <x:f>IF(A220="","",IF(C220="","FALTA TÍTULO",IF(E220="","FALTA ÁREA",IF(W220&lt;&gt;"Sí","PENDIENTE","LISTO"))))</x:f>
      </x:c>
    </x:row>
    <x:row r="221">
      <x:c r="A221" s="40"/>
      <x:c r="B221" s="40"/>
      <x:c r="C221" s="37"/>
      <x:c r="D221" s="37"/>
      <x:c r="E221" s="37"/>
      <x:c r="F221" s="43"/>
      <x:c r="G221" s="43"/>
      <x:c r="H221" s="43"/>
      <x:c r="I221" s="55" t="str">
        <x:f>IF(OR(F221="",G221="",H221=""),"",F221&amp;" "&amp;UPPER(G221)&amp;"."&amp;LOWER(H221))</x:f>
      </x:c>
      <x:c r="J221" s="37"/>
      <x:c r="K221" s="37"/>
      <x:c r="L221" s="46"/>
      <x:c r="M221" s="43"/>
      <x:c r="N221" s="43"/>
      <x:c r="O221" s="43"/>
      <x:c r="P221" s="58" t="str">
        <x:f>IF(N221="","","Estantería "&amp;N221&amp;IF(O221="",""," - Balda "&amp;N221&amp;O221))</x:f>
      </x:c>
      <x:c r="Q221" s="37"/>
      <x:c r="R221" s="37"/>
      <x:c r="S221" s="49"/>
      <x:c r="T221" s="37"/>
      <x:c r="U221" s="37"/>
      <x:c r="V221" s="37"/>
      <x:c r="W221" s="34"/>
      <x:c r="X221" s="52"/>
      <x:c r="Y221" s="61" t="str">
        <x:f>IF(A221="","",IF(COUNTIF($A$6:$A$605,A221)&gt;1,"DUPLICADO","OK"))</x:f>
      </x:c>
      <x:c r="Z221" s="61" t="str">
        <x:f>IF(A221="","",IF(C221="","FALTA TÍTULO",IF(E221="","FALTA ÁREA",IF(W221&lt;&gt;"Sí","PENDIENTE","LISTO"))))</x:f>
      </x:c>
    </x:row>
    <x:row r="222">
      <x:c r="A222" s="40"/>
      <x:c r="B222" s="40"/>
      <x:c r="C222" s="37"/>
      <x:c r="D222" s="37"/>
      <x:c r="E222" s="37"/>
      <x:c r="F222" s="43"/>
      <x:c r="G222" s="43"/>
      <x:c r="H222" s="43"/>
      <x:c r="I222" s="55" t="str">
        <x:f>IF(OR(F222="",G222="",H222=""),"",F222&amp;" "&amp;UPPER(G222)&amp;"."&amp;LOWER(H222))</x:f>
      </x:c>
      <x:c r="J222" s="37"/>
      <x:c r="K222" s="37"/>
      <x:c r="L222" s="46"/>
      <x:c r="M222" s="43"/>
      <x:c r="N222" s="43"/>
      <x:c r="O222" s="43"/>
      <x:c r="P222" s="58" t="str">
        <x:f>IF(N222="","","Estantería "&amp;N222&amp;IF(O222="",""," - Balda "&amp;N222&amp;O222))</x:f>
      </x:c>
      <x:c r="Q222" s="37"/>
      <x:c r="R222" s="37"/>
      <x:c r="S222" s="49"/>
      <x:c r="T222" s="37"/>
      <x:c r="U222" s="37"/>
      <x:c r="V222" s="37"/>
      <x:c r="W222" s="34"/>
      <x:c r="X222" s="52"/>
      <x:c r="Y222" s="61" t="str">
        <x:f>IF(A222="","",IF(COUNTIF($A$6:$A$605,A222)&gt;1,"DUPLICADO","OK"))</x:f>
      </x:c>
      <x:c r="Z222" s="61" t="str">
        <x:f>IF(A222="","",IF(C222="","FALTA TÍTULO",IF(E222="","FALTA ÁREA",IF(W222&lt;&gt;"Sí","PENDIENTE","LISTO"))))</x:f>
      </x:c>
    </x:row>
    <x:row r="223">
      <x:c r="A223" s="40"/>
      <x:c r="B223" s="40"/>
      <x:c r="C223" s="37"/>
      <x:c r="D223" s="37"/>
      <x:c r="E223" s="37"/>
      <x:c r="F223" s="43"/>
      <x:c r="G223" s="43"/>
      <x:c r="H223" s="43"/>
      <x:c r="I223" s="55" t="str">
        <x:f>IF(OR(F223="",G223="",H223=""),"",F223&amp;" "&amp;UPPER(G223)&amp;"."&amp;LOWER(H223))</x:f>
      </x:c>
      <x:c r="J223" s="37"/>
      <x:c r="K223" s="37"/>
      <x:c r="L223" s="46"/>
      <x:c r="M223" s="43"/>
      <x:c r="N223" s="43"/>
      <x:c r="O223" s="43"/>
      <x:c r="P223" s="58" t="str">
        <x:f>IF(N223="","","Estantería "&amp;N223&amp;IF(O223="",""," - Balda "&amp;N223&amp;O223))</x:f>
      </x:c>
      <x:c r="Q223" s="37"/>
      <x:c r="R223" s="37"/>
      <x:c r="S223" s="49"/>
      <x:c r="T223" s="37"/>
      <x:c r="U223" s="37"/>
      <x:c r="V223" s="37"/>
      <x:c r="W223" s="34"/>
      <x:c r="X223" s="52"/>
      <x:c r="Y223" s="61" t="str">
        <x:f>IF(A223="","",IF(COUNTIF($A$6:$A$605,A223)&gt;1,"DUPLICADO","OK"))</x:f>
      </x:c>
      <x:c r="Z223" s="61" t="str">
        <x:f>IF(A223="","",IF(C223="","FALTA TÍTULO",IF(E223="","FALTA ÁREA",IF(W223&lt;&gt;"Sí","PENDIENTE","LISTO"))))</x:f>
      </x:c>
    </x:row>
    <x:row r="224">
      <x:c r="A224" s="40"/>
      <x:c r="B224" s="40"/>
      <x:c r="C224" s="37"/>
      <x:c r="D224" s="37"/>
      <x:c r="E224" s="37"/>
      <x:c r="F224" s="43"/>
      <x:c r="G224" s="43"/>
      <x:c r="H224" s="43"/>
      <x:c r="I224" s="55" t="str">
        <x:f>IF(OR(F224="",G224="",H224=""),"",F224&amp;" "&amp;UPPER(G224)&amp;"."&amp;LOWER(H224))</x:f>
      </x:c>
      <x:c r="J224" s="37"/>
      <x:c r="K224" s="37"/>
      <x:c r="L224" s="46"/>
      <x:c r="M224" s="43"/>
      <x:c r="N224" s="43"/>
      <x:c r="O224" s="43"/>
      <x:c r="P224" s="58" t="str">
        <x:f>IF(N224="","","Estantería "&amp;N224&amp;IF(O224="",""," - Balda "&amp;N224&amp;O224))</x:f>
      </x:c>
      <x:c r="Q224" s="37"/>
      <x:c r="R224" s="37"/>
      <x:c r="S224" s="49"/>
      <x:c r="T224" s="37"/>
      <x:c r="U224" s="37"/>
      <x:c r="V224" s="37"/>
      <x:c r="W224" s="34"/>
      <x:c r="X224" s="52"/>
      <x:c r="Y224" s="61" t="str">
        <x:f>IF(A224="","",IF(COUNTIF($A$6:$A$605,A224)&gt;1,"DUPLICADO","OK"))</x:f>
      </x:c>
      <x:c r="Z224" s="61" t="str">
        <x:f>IF(A224="","",IF(C224="","FALTA TÍTULO",IF(E224="","FALTA ÁREA",IF(W224&lt;&gt;"Sí","PENDIENTE","LISTO"))))</x:f>
      </x:c>
    </x:row>
    <x:row r="225">
      <x:c r="A225" s="40"/>
      <x:c r="B225" s="40"/>
      <x:c r="C225" s="37"/>
      <x:c r="D225" s="37"/>
      <x:c r="E225" s="37"/>
      <x:c r="F225" s="43"/>
      <x:c r="G225" s="43"/>
      <x:c r="H225" s="43"/>
      <x:c r="I225" s="55" t="str">
        <x:f>IF(OR(F225="",G225="",H225=""),"",F225&amp;" "&amp;UPPER(G225)&amp;"."&amp;LOWER(H225))</x:f>
      </x:c>
      <x:c r="J225" s="37"/>
      <x:c r="K225" s="37"/>
      <x:c r="L225" s="46"/>
      <x:c r="M225" s="43"/>
      <x:c r="N225" s="43"/>
      <x:c r="O225" s="43"/>
      <x:c r="P225" s="58" t="str">
        <x:f>IF(N225="","","Estantería "&amp;N225&amp;IF(O225="",""," - Balda "&amp;N225&amp;O225))</x:f>
      </x:c>
      <x:c r="Q225" s="37"/>
      <x:c r="R225" s="37"/>
      <x:c r="S225" s="49"/>
      <x:c r="T225" s="37"/>
      <x:c r="U225" s="37"/>
      <x:c r="V225" s="37"/>
      <x:c r="W225" s="34"/>
      <x:c r="X225" s="52"/>
      <x:c r="Y225" s="61" t="str">
        <x:f>IF(A225="","",IF(COUNTIF($A$6:$A$605,A225)&gt;1,"DUPLICADO","OK"))</x:f>
      </x:c>
      <x:c r="Z225" s="61" t="str">
        <x:f>IF(A225="","",IF(C225="","FALTA TÍTULO",IF(E225="","FALTA ÁREA",IF(W225&lt;&gt;"Sí","PENDIENTE","LISTO"))))</x:f>
      </x:c>
    </x:row>
    <x:row r="226">
      <x:c r="A226" s="40"/>
      <x:c r="B226" s="40"/>
      <x:c r="C226" s="37"/>
      <x:c r="D226" s="37"/>
      <x:c r="E226" s="37"/>
      <x:c r="F226" s="43"/>
      <x:c r="G226" s="43"/>
      <x:c r="H226" s="43"/>
      <x:c r="I226" s="55" t="str">
        <x:f>IF(OR(F226="",G226="",H226=""),"",F226&amp;" "&amp;UPPER(G226)&amp;"."&amp;LOWER(H226))</x:f>
      </x:c>
      <x:c r="J226" s="37"/>
      <x:c r="K226" s="37"/>
      <x:c r="L226" s="46"/>
      <x:c r="M226" s="43"/>
      <x:c r="N226" s="43"/>
      <x:c r="O226" s="43"/>
      <x:c r="P226" s="58" t="str">
        <x:f>IF(N226="","","Estantería "&amp;N226&amp;IF(O226="",""," - Balda "&amp;N226&amp;O226))</x:f>
      </x:c>
      <x:c r="Q226" s="37"/>
      <x:c r="R226" s="37"/>
      <x:c r="S226" s="49"/>
      <x:c r="T226" s="37"/>
      <x:c r="U226" s="37"/>
      <x:c r="V226" s="37"/>
      <x:c r="W226" s="34"/>
      <x:c r="X226" s="52"/>
      <x:c r="Y226" s="61" t="str">
        <x:f>IF(A226="","",IF(COUNTIF($A$6:$A$605,A226)&gt;1,"DUPLICADO","OK"))</x:f>
      </x:c>
      <x:c r="Z226" s="61" t="str">
        <x:f>IF(A226="","",IF(C226="","FALTA TÍTULO",IF(E226="","FALTA ÁREA",IF(W226&lt;&gt;"Sí","PENDIENTE","LISTO"))))</x:f>
      </x:c>
    </x:row>
    <x:row r="227">
      <x:c r="A227" s="40"/>
      <x:c r="B227" s="40"/>
      <x:c r="C227" s="37"/>
      <x:c r="D227" s="37"/>
      <x:c r="E227" s="37"/>
      <x:c r="F227" s="43"/>
      <x:c r="G227" s="43"/>
      <x:c r="H227" s="43"/>
      <x:c r="I227" s="55" t="str">
        <x:f>IF(OR(F227="",G227="",H227=""),"",F227&amp;" "&amp;UPPER(G227)&amp;"."&amp;LOWER(H227))</x:f>
      </x:c>
      <x:c r="J227" s="37"/>
      <x:c r="K227" s="37"/>
      <x:c r="L227" s="46"/>
      <x:c r="M227" s="43"/>
      <x:c r="N227" s="43"/>
      <x:c r="O227" s="43"/>
      <x:c r="P227" s="58" t="str">
        <x:f>IF(N227="","","Estantería "&amp;N227&amp;IF(O227="",""," - Balda "&amp;N227&amp;O227))</x:f>
      </x:c>
      <x:c r="Q227" s="37"/>
      <x:c r="R227" s="37"/>
      <x:c r="S227" s="49"/>
      <x:c r="T227" s="37"/>
      <x:c r="U227" s="37"/>
      <x:c r="V227" s="37"/>
      <x:c r="W227" s="34"/>
      <x:c r="X227" s="52"/>
      <x:c r="Y227" s="61" t="str">
        <x:f>IF(A227="","",IF(COUNTIF($A$6:$A$605,A227)&gt;1,"DUPLICADO","OK"))</x:f>
      </x:c>
      <x:c r="Z227" s="61" t="str">
        <x:f>IF(A227="","",IF(C227="","FALTA TÍTULO",IF(E227="","FALTA ÁREA",IF(W227&lt;&gt;"Sí","PENDIENTE","LISTO"))))</x:f>
      </x:c>
    </x:row>
    <x:row r="228">
      <x:c r="A228" s="40"/>
      <x:c r="B228" s="40"/>
      <x:c r="C228" s="37"/>
      <x:c r="D228" s="37"/>
      <x:c r="E228" s="37"/>
      <x:c r="F228" s="43"/>
      <x:c r="G228" s="43"/>
      <x:c r="H228" s="43"/>
      <x:c r="I228" s="55" t="str">
        <x:f>IF(OR(F228="",G228="",H228=""),"",F228&amp;" "&amp;UPPER(G228)&amp;"."&amp;LOWER(H228))</x:f>
      </x:c>
      <x:c r="J228" s="37"/>
      <x:c r="K228" s="37"/>
      <x:c r="L228" s="46"/>
      <x:c r="M228" s="43"/>
      <x:c r="N228" s="43"/>
      <x:c r="O228" s="43"/>
      <x:c r="P228" s="58" t="str">
        <x:f>IF(N228="","","Estantería "&amp;N228&amp;IF(O228="",""," - Balda "&amp;N228&amp;O228))</x:f>
      </x:c>
      <x:c r="Q228" s="37"/>
      <x:c r="R228" s="37"/>
      <x:c r="S228" s="49"/>
      <x:c r="T228" s="37"/>
      <x:c r="U228" s="37"/>
      <x:c r="V228" s="37"/>
      <x:c r="W228" s="34"/>
      <x:c r="X228" s="52"/>
      <x:c r="Y228" s="61" t="str">
        <x:f>IF(A228="","",IF(COUNTIF($A$6:$A$605,A228)&gt;1,"DUPLICADO","OK"))</x:f>
      </x:c>
      <x:c r="Z228" s="61" t="str">
        <x:f>IF(A228="","",IF(C228="","FALTA TÍTULO",IF(E228="","FALTA ÁREA",IF(W228&lt;&gt;"Sí","PENDIENTE","LISTO"))))</x:f>
      </x:c>
    </x:row>
    <x:row r="229">
      <x:c r="A229" s="40"/>
      <x:c r="B229" s="40"/>
      <x:c r="C229" s="37"/>
      <x:c r="D229" s="37"/>
      <x:c r="E229" s="37"/>
      <x:c r="F229" s="43"/>
      <x:c r="G229" s="43"/>
      <x:c r="H229" s="43"/>
      <x:c r="I229" s="55" t="str">
        <x:f>IF(OR(F229="",G229="",H229=""),"",F229&amp;" "&amp;UPPER(G229)&amp;"."&amp;LOWER(H229))</x:f>
      </x:c>
      <x:c r="J229" s="37"/>
      <x:c r="K229" s="37"/>
      <x:c r="L229" s="46"/>
      <x:c r="M229" s="43"/>
      <x:c r="N229" s="43"/>
      <x:c r="O229" s="43"/>
      <x:c r="P229" s="58" t="str">
        <x:f>IF(N229="","","Estantería "&amp;N229&amp;IF(O229="",""," - Balda "&amp;N229&amp;O229))</x:f>
      </x:c>
      <x:c r="Q229" s="37"/>
      <x:c r="R229" s="37"/>
      <x:c r="S229" s="49"/>
      <x:c r="T229" s="37"/>
      <x:c r="U229" s="37"/>
      <x:c r="V229" s="37"/>
      <x:c r="W229" s="34"/>
      <x:c r="X229" s="52"/>
      <x:c r="Y229" s="61" t="str">
        <x:f>IF(A229="","",IF(COUNTIF($A$6:$A$605,A229)&gt;1,"DUPLICADO","OK"))</x:f>
      </x:c>
      <x:c r="Z229" s="61" t="str">
        <x:f>IF(A229="","",IF(C229="","FALTA TÍTULO",IF(E229="","FALTA ÁREA",IF(W229&lt;&gt;"Sí","PENDIENTE","LISTO"))))</x:f>
      </x:c>
    </x:row>
    <x:row r="230">
      <x:c r="A230" s="40"/>
      <x:c r="B230" s="40"/>
      <x:c r="C230" s="37"/>
      <x:c r="D230" s="37"/>
      <x:c r="E230" s="37"/>
      <x:c r="F230" s="43"/>
      <x:c r="G230" s="43"/>
      <x:c r="H230" s="43"/>
      <x:c r="I230" s="55" t="str">
        <x:f>IF(OR(F230="",G230="",H230=""),"",F230&amp;" "&amp;UPPER(G230)&amp;"."&amp;LOWER(H230))</x:f>
      </x:c>
      <x:c r="J230" s="37"/>
      <x:c r="K230" s="37"/>
      <x:c r="L230" s="46"/>
      <x:c r="M230" s="43"/>
      <x:c r="N230" s="43"/>
      <x:c r="O230" s="43"/>
      <x:c r="P230" s="58" t="str">
        <x:f>IF(N230="","","Estantería "&amp;N230&amp;IF(O230="",""," - Balda "&amp;N230&amp;O230))</x:f>
      </x:c>
      <x:c r="Q230" s="37"/>
      <x:c r="R230" s="37"/>
      <x:c r="S230" s="49"/>
      <x:c r="T230" s="37"/>
      <x:c r="U230" s="37"/>
      <x:c r="V230" s="37"/>
      <x:c r="W230" s="34"/>
      <x:c r="X230" s="52"/>
      <x:c r="Y230" s="61" t="str">
        <x:f>IF(A230="","",IF(COUNTIF($A$6:$A$605,A230)&gt;1,"DUPLICADO","OK"))</x:f>
      </x:c>
      <x:c r="Z230" s="61" t="str">
        <x:f>IF(A230="","",IF(C230="","FALTA TÍTULO",IF(E230="","FALTA ÁREA",IF(W230&lt;&gt;"Sí","PENDIENTE","LISTO"))))</x:f>
      </x:c>
    </x:row>
    <x:row r="231">
      <x:c r="A231" s="40"/>
      <x:c r="B231" s="40"/>
      <x:c r="C231" s="37"/>
      <x:c r="D231" s="37"/>
      <x:c r="E231" s="37"/>
      <x:c r="F231" s="43"/>
      <x:c r="G231" s="43"/>
      <x:c r="H231" s="43"/>
      <x:c r="I231" s="55" t="str">
        <x:f>IF(OR(F231="",G231="",H231=""),"",F231&amp;" "&amp;UPPER(G231)&amp;"."&amp;LOWER(H231))</x:f>
      </x:c>
      <x:c r="J231" s="37"/>
      <x:c r="K231" s="37"/>
      <x:c r="L231" s="46"/>
      <x:c r="M231" s="43"/>
      <x:c r="N231" s="43"/>
      <x:c r="O231" s="43"/>
      <x:c r="P231" s="58" t="str">
        <x:f>IF(N231="","","Estantería "&amp;N231&amp;IF(O231="",""," - Balda "&amp;N231&amp;O231))</x:f>
      </x:c>
      <x:c r="Q231" s="37"/>
      <x:c r="R231" s="37"/>
      <x:c r="S231" s="49"/>
      <x:c r="T231" s="37"/>
      <x:c r="U231" s="37"/>
      <x:c r="V231" s="37"/>
      <x:c r="W231" s="34"/>
      <x:c r="X231" s="52"/>
      <x:c r="Y231" s="61" t="str">
        <x:f>IF(A231="","",IF(COUNTIF($A$6:$A$605,A231)&gt;1,"DUPLICADO","OK"))</x:f>
      </x:c>
      <x:c r="Z231" s="61" t="str">
        <x:f>IF(A231="","",IF(C231="","FALTA TÍTULO",IF(E231="","FALTA ÁREA",IF(W231&lt;&gt;"Sí","PENDIENTE","LISTO"))))</x:f>
      </x:c>
    </x:row>
    <x:row r="232">
      <x:c r="A232" s="40"/>
      <x:c r="B232" s="40"/>
      <x:c r="C232" s="37"/>
      <x:c r="D232" s="37"/>
      <x:c r="E232" s="37"/>
      <x:c r="F232" s="43"/>
      <x:c r="G232" s="43"/>
      <x:c r="H232" s="43"/>
      <x:c r="I232" s="55" t="str">
        <x:f>IF(OR(F232="",G232="",H232=""),"",F232&amp;" "&amp;UPPER(G232)&amp;"."&amp;LOWER(H232))</x:f>
      </x:c>
      <x:c r="J232" s="37"/>
      <x:c r="K232" s="37"/>
      <x:c r="L232" s="46"/>
      <x:c r="M232" s="43"/>
      <x:c r="N232" s="43"/>
      <x:c r="O232" s="43"/>
      <x:c r="P232" s="58" t="str">
        <x:f>IF(N232="","","Estantería "&amp;N232&amp;IF(O232="",""," - Balda "&amp;N232&amp;O232))</x:f>
      </x:c>
      <x:c r="Q232" s="37"/>
      <x:c r="R232" s="37"/>
      <x:c r="S232" s="49"/>
      <x:c r="T232" s="37"/>
      <x:c r="U232" s="37"/>
      <x:c r="V232" s="37"/>
      <x:c r="W232" s="34"/>
      <x:c r="X232" s="52"/>
      <x:c r="Y232" s="61" t="str">
        <x:f>IF(A232="","",IF(COUNTIF($A$6:$A$605,A232)&gt;1,"DUPLICADO","OK"))</x:f>
      </x:c>
      <x:c r="Z232" s="61" t="str">
        <x:f>IF(A232="","",IF(C232="","FALTA TÍTULO",IF(E232="","FALTA ÁREA",IF(W232&lt;&gt;"Sí","PENDIENTE","LISTO"))))</x:f>
      </x:c>
    </x:row>
    <x:row r="233">
      <x:c r="A233" s="40"/>
      <x:c r="B233" s="40"/>
      <x:c r="C233" s="37"/>
      <x:c r="D233" s="37"/>
      <x:c r="E233" s="37"/>
      <x:c r="F233" s="43"/>
      <x:c r="G233" s="43"/>
      <x:c r="H233" s="43"/>
      <x:c r="I233" s="55" t="str">
        <x:f>IF(OR(F233="",G233="",H233=""),"",F233&amp;" "&amp;UPPER(G233)&amp;"."&amp;LOWER(H233))</x:f>
      </x:c>
      <x:c r="J233" s="37"/>
      <x:c r="K233" s="37"/>
      <x:c r="L233" s="46"/>
      <x:c r="M233" s="43"/>
      <x:c r="N233" s="43"/>
      <x:c r="O233" s="43"/>
      <x:c r="P233" s="58" t="str">
        <x:f>IF(N233="","","Estantería "&amp;N233&amp;IF(O233="",""," - Balda "&amp;N233&amp;O233))</x:f>
      </x:c>
      <x:c r="Q233" s="37"/>
      <x:c r="R233" s="37"/>
      <x:c r="S233" s="49"/>
      <x:c r="T233" s="37"/>
      <x:c r="U233" s="37"/>
      <x:c r="V233" s="37"/>
      <x:c r="W233" s="34"/>
      <x:c r="X233" s="52"/>
      <x:c r="Y233" s="61" t="str">
        <x:f>IF(A233="","",IF(COUNTIF($A$6:$A$605,A233)&gt;1,"DUPLICADO","OK"))</x:f>
      </x:c>
      <x:c r="Z233" s="61" t="str">
        <x:f>IF(A233="","",IF(C233="","FALTA TÍTULO",IF(E233="","FALTA ÁREA",IF(W233&lt;&gt;"Sí","PENDIENTE","LISTO"))))</x:f>
      </x:c>
    </x:row>
    <x:row r="234">
      <x:c r="A234" s="40"/>
      <x:c r="B234" s="40"/>
      <x:c r="C234" s="37"/>
      <x:c r="D234" s="37"/>
      <x:c r="E234" s="37"/>
      <x:c r="F234" s="43"/>
      <x:c r="G234" s="43"/>
      <x:c r="H234" s="43"/>
      <x:c r="I234" s="55" t="str">
        <x:f>IF(OR(F234="",G234="",H234=""),"",F234&amp;" "&amp;UPPER(G234)&amp;"."&amp;LOWER(H234))</x:f>
      </x:c>
      <x:c r="J234" s="37"/>
      <x:c r="K234" s="37"/>
      <x:c r="L234" s="46"/>
      <x:c r="M234" s="43"/>
      <x:c r="N234" s="43"/>
      <x:c r="O234" s="43"/>
      <x:c r="P234" s="58" t="str">
        <x:f>IF(N234="","","Estantería "&amp;N234&amp;IF(O234="",""," - Balda "&amp;N234&amp;O234))</x:f>
      </x:c>
      <x:c r="Q234" s="37"/>
      <x:c r="R234" s="37"/>
      <x:c r="S234" s="49"/>
      <x:c r="T234" s="37"/>
      <x:c r="U234" s="37"/>
      <x:c r="V234" s="37"/>
      <x:c r="W234" s="34"/>
      <x:c r="X234" s="52"/>
      <x:c r="Y234" s="61" t="str">
        <x:f>IF(A234="","",IF(COUNTIF($A$6:$A$605,A234)&gt;1,"DUPLICADO","OK"))</x:f>
      </x:c>
      <x:c r="Z234" s="61" t="str">
        <x:f>IF(A234="","",IF(C234="","FALTA TÍTULO",IF(E234="","FALTA ÁREA",IF(W234&lt;&gt;"Sí","PENDIENTE","LISTO"))))</x:f>
      </x:c>
    </x:row>
    <x:row r="235">
      <x:c r="A235" s="40"/>
      <x:c r="B235" s="40"/>
      <x:c r="C235" s="37"/>
      <x:c r="D235" s="37"/>
      <x:c r="E235" s="37"/>
      <x:c r="F235" s="43"/>
      <x:c r="G235" s="43"/>
      <x:c r="H235" s="43"/>
      <x:c r="I235" s="55" t="str">
        <x:f>IF(OR(F235="",G235="",H235=""),"",F235&amp;" "&amp;UPPER(G235)&amp;"."&amp;LOWER(H235))</x:f>
      </x:c>
      <x:c r="J235" s="37"/>
      <x:c r="K235" s="37"/>
      <x:c r="L235" s="46"/>
      <x:c r="M235" s="43"/>
      <x:c r="N235" s="43"/>
      <x:c r="O235" s="43"/>
      <x:c r="P235" s="58" t="str">
        <x:f>IF(N235="","","Estantería "&amp;N235&amp;IF(O235="",""," - Balda "&amp;N235&amp;O235))</x:f>
      </x:c>
      <x:c r="Q235" s="37"/>
      <x:c r="R235" s="37"/>
      <x:c r="S235" s="49"/>
      <x:c r="T235" s="37"/>
      <x:c r="U235" s="37"/>
      <x:c r="V235" s="37"/>
      <x:c r="W235" s="34"/>
      <x:c r="X235" s="52"/>
      <x:c r="Y235" s="61" t="str">
        <x:f>IF(A235="","",IF(COUNTIF($A$6:$A$605,A235)&gt;1,"DUPLICADO","OK"))</x:f>
      </x:c>
      <x:c r="Z235" s="61" t="str">
        <x:f>IF(A235="","",IF(C235="","FALTA TÍTULO",IF(E235="","FALTA ÁREA",IF(W235&lt;&gt;"Sí","PENDIENTE","LISTO"))))</x:f>
      </x:c>
    </x:row>
    <x:row r="236">
      <x:c r="A236" s="40"/>
      <x:c r="B236" s="40"/>
      <x:c r="C236" s="37"/>
      <x:c r="D236" s="37"/>
      <x:c r="E236" s="37"/>
      <x:c r="F236" s="43"/>
      <x:c r="G236" s="43"/>
      <x:c r="H236" s="43"/>
      <x:c r="I236" s="55" t="str">
        <x:f>IF(OR(F236="",G236="",H236=""),"",F236&amp;" "&amp;UPPER(G236)&amp;"."&amp;LOWER(H236))</x:f>
      </x:c>
      <x:c r="J236" s="37"/>
      <x:c r="K236" s="37"/>
      <x:c r="L236" s="46"/>
      <x:c r="M236" s="43"/>
      <x:c r="N236" s="43"/>
      <x:c r="O236" s="43"/>
      <x:c r="P236" s="58" t="str">
        <x:f>IF(N236="","","Estantería "&amp;N236&amp;IF(O236="",""," - Balda "&amp;N236&amp;O236))</x:f>
      </x:c>
      <x:c r="Q236" s="37"/>
      <x:c r="R236" s="37"/>
      <x:c r="S236" s="49"/>
      <x:c r="T236" s="37"/>
      <x:c r="U236" s="37"/>
      <x:c r="V236" s="37"/>
      <x:c r="W236" s="34"/>
      <x:c r="X236" s="52"/>
      <x:c r="Y236" s="61" t="str">
        <x:f>IF(A236="","",IF(COUNTIF($A$6:$A$605,A236)&gt;1,"DUPLICADO","OK"))</x:f>
      </x:c>
      <x:c r="Z236" s="61" t="str">
        <x:f>IF(A236="","",IF(C236="","FALTA TÍTULO",IF(E236="","FALTA ÁREA",IF(W236&lt;&gt;"Sí","PENDIENTE","LISTO"))))</x:f>
      </x:c>
    </x:row>
    <x:row r="237">
      <x:c r="A237" s="40"/>
      <x:c r="B237" s="40"/>
      <x:c r="C237" s="37"/>
      <x:c r="D237" s="37"/>
      <x:c r="E237" s="37"/>
      <x:c r="F237" s="43"/>
      <x:c r="G237" s="43"/>
      <x:c r="H237" s="43"/>
      <x:c r="I237" s="55" t="str">
        <x:f>IF(OR(F237="",G237="",H237=""),"",F237&amp;" "&amp;UPPER(G237)&amp;"."&amp;LOWER(H237))</x:f>
      </x:c>
      <x:c r="J237" s="37"/>
      <x:c r="K237" s="37"/>
      <x:c r="L237" s="46"/>
      <x:c r="M237" s="43"/>
      <x:c r="N237" s="43"/>
      <x:c r="O237" s="43"/>
      <x:c r="P237" s="58" t="str">
        <x:f>IF(N237="","","Estantería "&amp;N237&amp;IF(O237="",""," - Balda "&amp;N237&amp;O237))</x:f>
      </x:c>
      <x:c r="Q237" s="37"/>
      <x:c r="R237" s="37"/>
      <x:c r="S237" s="49"/>
      <x:c r="T237" s="37"/>
      <x:c r="U237" s="37"/>
      <x:c r="V237" s="37"/>
      <x:c r="W237" s="34"/>
      <x:c r="X237" s="52"/>
      <x:c r="Y237" s="61" t="str">
        <x:f>IF(A237="","",IF(COUNTIF($A$6:$A$605,A237)&gt;1,"DUPLICADO","OK"))</x:f>
      </x:c>
      <x:c r="Z237" s="61" t="str">
        <x:f>IF(A237="","",IF(C237="","FALTA TÍTULO",IF(E237="","FALTA ÁREA",IF(W237&lt;&gt;"Sí","PENDIENTE","LISTO"))))</x:f>
      </x:c>
    </x:row>
    <x:row r="238">
      <x:c r="A238" s="40"/>
      <x:c r="B238" s="40"/>
      <x:c r="C238" s="37"/>
      <x:c r="D238" s="37"/>
      <x:c r="E238" s="37"/>
      <x:c r="F238" s="43"/>
      <x:c r="G238" s="43"/>
      <x:c r="H238" s="43"/>
      <x:c r="I238" s="55" t="str">
        <x:f>IF(OR(F238="",G238="",H238=""),"",F238&amp;" "&amp;UPPER(G238)&amp;"."&amp;LOWER(H238))</x:f>
      </x:c>
      <x:c r="J238" s="37"/>
      <x:c r="K238" s="37"/>
      <x:c r="L238" s="46"/>
      <x:c r="M238" s="43"/>
      <x:c r="N238" s="43"/>
      <x:c r="O238" s="43"/>
      <x:c r="P238" s="58" t="str">
        <x:f>IF(N238="","","Estantería "&amp;N238&amp;IF(O238="",""," - Balda "&amp;N238&amp;O238))</x:f>
      </x:c>
      <x:c r="Q238" s="37"/>
      <x:c r="R238" s="37"/>
      <x:c r="S238" s="49"/>
      <x:c r="T238" s="37"/>
      <x:c r="U238" s="37"/>
      <x:c r="V238" s="37"/>
      <x:c r="W238" s="34"/>
      <x:c r="X238" s="52"/>
      <x:c r="Y238" s="61" t="str">
        <x:f>IF(A238="","",IF(COUNTIF($A$6:$A$605,A238)&gt;1,"DUPLICADO","OK"))</x:f>
      </x:c>
      <x:c r="Z238" s="61" t="str">
        <x:f>IF(A238="","",IF(C238="","FALTA TÍTULO",IF(E238="","FALTA ÁREA",IF(W238&lt;&gt;"Sí","PENDIENTE","LISTO"))))</x:f>
      </x:c>
    </x:row>
    <x:row r="239">
      <x:c r="A239" s="40"/>
      <x:c r="B239" s="40"/>
      <x:c r="C239" s="37"/>
      <x:c r="D239" s="37"/>
      <x:c r="E239" s="37"/>
      <x:c r="F239" s="43"/>
      <x:c r="G239" s="43"/>
      <x:c r="H239" s="43"/>
      <x:c r="I239" s="55" t="str">
        <x:f>IF(OR(F239="",G239="",H239=""),"",F239&amp;" "&amp;UPPER(G239)&amp;"."&amp;LOWER(H239))</x:f>
      </x:c>
      <x:c r="J239" s="37"/>
      <x:c r="K239" s="37"/>
      <x:c r="L239" s="46"/>
      <x:c r="M239" s="43"/>
      <x:c r="N239" s="43"/>
      <x:c r="O239" s="43"/>
      <x:c r="P239" s="58" t="str">
        <x:f>IF(N239="","","Estantería "&amp;N239&amp;IF(O239="",""," - Balda "&amp;N239&amp;O239))</x:f>
      </x:c>
      <x:c r="Q239" s="37"/>
      <x:c r="R239" s="37"/>
      <x:c r="S239" s="49"/>
      <x:c r="T239" s="37"/>
      <x:c r="U239" s="37"/>
      <x:c r="V239" s="37"/>
      <x:c r="W239" s="34"/>
      <x:c r="X239" s="52"/>
      <x:c r="Y239" s="61" t="str">
        <x:f>IF(A239="","",IF(COUNTIF($A$6:$A$605,A239)&gt;1,"DUPLICADO","OK"))</x:f>
      </x:c>
      <x:c r="Z239" s="61" t="str">
        <x:f>IF(A239="","",IF(C239="","FALTA TÍTULO",IF(E239="","FALTA ÁREA",IF(W239&lt;&gt;"Sí","PENDIENTE","LISTO"))))</x:f>
      </x:c>
    </x:row>
    <x:row r="240">
      <x:c r="A240" s="40"/>
      <x:c r="B240" s="40"/>
      <x:c r="C240" s="37"/>
      <x:c r="D240" s="37"/>
      <x:c r="E240" s="37"/>
      <x:c r="F240" s="43"/>
      <x:c r="G240" s="43"/>
      <x:c r="H240" s="43"/>
      <x:c r="I240" s="55" t="str">
        <x:f>IF(OR(F240="",G240="",H240=""),"",F240&amp;" "&amp;UPPER(G240)&amp;"."&amp;LOWER(H240))</x:f>
      </x:c>
      <x:c r="J240" s="37"/>
      <x:c r="K240" s="37"/>
      <x:c r="L240" s="46"/>
      <x:c r="M240" s="43"/>
      <x:c r="N240" s="43"/>
      <x:c r="O240" s="43"/>
      <x:c r="P240" s="58" t="str">
        <x:f>IF(N240="","","Estantería "&amp;N240&amp;IF(O240="",""," - Balda "&amp;N240&amp;O240))</x:f>
      </x:c>
      <x:c r="Q240" s="37"/>
      <x:c r="R240" s="37"/>
      <x:c r="S240" s="49"/>
      <x:c r="T240" s="37"/>
      <x:c r="U240" s="37"/>
      <x:c r="V240" s="37"/>
      <x:c r="W240" s="34"/>
      <x:c r="X240" s="52"/>
      <x:c r="Y240" s="61" t="str">
        <x:f>IF(A240="","",IF(COUNTIF($A$6:$A$605,A240)&gt;1,"DUPLICADO","OK"))</x:f>
      </x:c>
      <x:c r="Z240" s="61" t="str">
        <x:f>IF(A240="","",IF(C240="","FALTA TÍTULO",IF(E240="","FALTA ÁREA",IF(W240&lt;&gt;"Sí","PENDIENTE","LISTO"))))</x:f>
      </x:c>
    </x:row>
    <x:row r="241">
      <x:c r="A241" s="40"/>
      <x:c r="B241" s="40"/>
      <x:c r="C241" s="37"/>
      <x:c r="D241" s="37"/>
      <x:c r="E241" s="37"/>
      <x:c r="F241" s="43"/>
      <x:c r="G241" s="43"/>
      <x:c r="H241" s="43"/>
      <x:c r="I241" s="55" t="str">
        <x:f>IF(OR(F241="",G241="",H241=""),"",F241&amp;" "&amp;UPPER(G241)&amp;"."&amp;LOWER(H241))</x:f>
      </x:c>
      <x:c r="J241" s="37"/>
      <x:c r="K241" s="37"/>
      <x:c r="L241" s="46"/>
      <x:c r="M241" s="43"/>
      <x:c r="N241" s="43"/>
      <x:c r="O241" s="43"/>
      <x:c r="P241" s="58" t="str">
        <x:f>IF(N241="","","Estantería "&amp;N241&amp;IF(O241="",""," - Balda "&amp;N241&amp;O241))</x:f>
      </x:c>
      <x:c r="Q241" s="37"/>
      <x:c r="R241" s="37"/>
      <x:c r="S241" s="49"/>
      <x:c r="T241" s="37"/>
      <x:c r="U241" s="37"/>
      <x:c r="V241" s="37"/>
      <x:c r="W241" s="34"/>
      <x:c r="X241" s="52"/>
      <x:c r="Y241" s="61" t="str">
        <x:f>IF(A241="","",IF(COUNTIF($A$6:$A$605,A241)&gt;1,"DUPLICADO","OK"))</x:f>
      </x:c>
      <x:c r="Z241" s="61" t="str">
        <x:f>IF(A241="","",IF(C241="","FALTA TÍTULO",IF(E241="","FALTA ÁREA",IF(W241&lt;&gt;"Sí","PENDIENTE","LISTO"))))</x:f>
      </x:c>
    </x:row>
    <x:row r="242">
      <x:c r="A242" s="40"/>
      <x:c r="B242" s="40"/>
      <x:c r="C242" s="37"/>
      <x:c r="D242" s="37"/>
      <x:c r="E242" s="37"/>
      <x:c r="F242" s="43"/>
      <x:c r="G242" s="43"/>
      <x:c r="H242" s="43"/>
      <x:c r="I242" s="55" t="str">
        <x:f>IF(OR(F242="",G242="",H242=""),"",F242&amp;" "&amp;UPPER(G242)&amp;"."&amp;LOWER(H242))</x:f>
      </x:c>
      <x:c r="J242" s="37"/>
      <x:c r="K242" s="37"/>
      <x:c r="L242" s="46"/>
      <x:c r="M242" s="43"/>
      <x:c r="N242" s="43"/>
      <x:c r="O242" s="43"/>
      <x:c r="P242" s="58" t="str">
        <x:f>IF(N242="","","Estantería "&amp;N242&amp;IF(O242="",""," - Balda "&amp;N242&amp;O242))</x:f>
      </x:c>
      <x:c r="Q242" s="37"/>
      <x:c r="R242" s="37"/>
      <x:c r="S242" s="49"/>
      <x:c r="T242" s="37"/>
      <x:c r="U242" s="37"/>
      <x:c r="V242" s="37"/>
      <x:c r="W242" s="34"/>
      <x:c r="X242" s="52"/>
      <x:c r="Y242" s="61" t="str">
        <x:f>IF(A242="","",IF(COUNTIF($A$6:$A$605,A242)&gt;1,"DUPLICADO","OK"))</x:f>
      </x:c>
      <x:c r="Z242" s="61" t="str">
        <x:f>IF(A242="","",IF(C242="","FALTA TÍTULO",IF(E242="","FALTA ÁREA",IF(W242&lt;&gt;"Sí","PENDIENTE","LISTO"))))</x:f>
      </x:c>
    </x:row>
    <x:row r="243">
      <x:c r="A243" s="40"/>
      <x:c r="B243" s="40"/>
      <x:c r="C243" s="37"/>
      <x:c r="D243" s="37"/>
      <x:c r="E243" s="37"/>
      <x:c r="F243" s="43"/>
      <x:c r="G243" s="43"/>
      <x:c r="H243" s="43"/>
      <x:c r="I243" s="55" t="str">
        <x:f>IF(OR(F243="",G243="",H243=""),"",F243&amp;" "&amp;UPPER(G243)&amp;"."&amp;LOWER(H243))</x:f>
      </x:c>
      <x:c r="J243" s="37"/>
      <x:c r="K243" s="37"/>
      <x:c r="L243" s="46"/>
      <x:c r="M243" s="43"/>
      <x:c r="N243" s="43"/>
      <x:c r="O243" s="43"/>
      <x:c r="P243" s="58" t="str">
        <x:f>IF(N243="","","Estantería "&amp;N243&amp;IF(O243="",""," - Balda "&amp;N243&amp;O243))</x:f>
      </x:c>
      <x:c r="Q243" s="37"/>
      <x:c r="R243" s="37"/>
      <x:c r="S243" s="49"/>
      <x:c r="T243" s="37"/>
      <x:c r="U243" s="37"/>
      <x:c r="V243" s="37"/>
      <x:c r="W243" s="34"/>
      <x:c r="X243" s="52"/>
      <x:c r="Y243" s="61" t="str">
        <x:f>IF(A243="","",IF(COUNTIF($A$6:$A$605,A243)&gt;1,"DUPLICADO","OK"))</x:f>
      </x:c>
      <x:c r="Z243" s="61" t="str">
        <x:f>IF(A243="","",IF(C243="","FALTA TÍTULO",IF(E243="","FALTA ÁREA",IF(W243&lt;&gt;"Sí","PENDIENTE","LISTO"))))</x:f>
      </x:c>
    </x:row>
    <x:row r="244">
      <x:c r="A244" s="40"/>
      <x:c r="B244" s="40"/>
      <x:c r="C244" s="37"/>
      <x:c r="D244" s="37"/>
      <x:c r="E244" s="37"/>
      <x:c r="F244" s="43"/>
      <x:c r="G244" s="43"/>
      <x:c r="H244" s="43"/>
      <x:c r="I244" s="55" t="str">
        <x:f>IF(OR(F244="",G244="",H244=""),"",F244&amp;" "&amp;UPPER(G244)&amp;"."&amp;LOWER(H244))</x:f>
      </x:c>
      <x:c r="J244" s="37"/>
      <x:c r="K244" s="37"/>
      <x:c r="L244" s="46"/>
      <x:c r="M244" s="43"/>
      <x:c r="N244" s="43"/>
      <x:c r="O244" s="43"/>
      <x:c r="P244" s="58" t="str">
        <x:f>IF(N244="","","Estantería "&amp;N244&amp;IF(O244="",""," - Balda "&amp;N244&amp;O244))</x:f>
      </x:c>
      <x:c r="Q244" s="37"/>
      <x:c r="R244" s="37"/>
      <x:c r="S244" s="49"/>
      <x:c r="T244" s="37"/>
      <x:c r="U244" s="37"/>
      <x:c r="V244" s="37"/>
      <x:c r="W244" s="34"/>
      <x:c r="X244" s="52"/>
      <x:c r="Y244" s="61" t="str">
        <x:f>IF(A244="","",IF(COUNTIF($A$6:$A$605,A244)&gt;1,"DUPLICADO","OK"))</x:f>
      </x:c>
      <x:c r="Z244" s="61" t="str">
        <x:f>IF(A244="","",IF(C244="","FALTA TÍTULO",IF(E244="","FALTA ÁREA",IF(W244&lt;&gt;"Sí","PENDIENTE","LISTO"))))</x:f>
      </x:c>
    </x:row>
    <x:row r="245">
      <x:c r="A245" s="40"/>
      <x:c r="B245" s="40"/>
      <x:c r="C245" s="37"/>
      <x:c r="D245" s="37"/>
      <x:c r="E245" s="37"/>
      <x:c r="F245" s="43"/>
      <x:c r="G245" s="43"/>
      <x:c r="H245" s="43"/>
      <x:c r="I245" s="55" t="str">
        <x:f>IF(OR(F245="",G245="",H245=""),"",F245&amp;" "&amp;UPPER(G245)&amp;"."&amp;LOWER(H245))</x:f>
      </x:c>
      <x:c r="J245" s="37"/>
      <x:c r="K245" s="37"/>
      <x:c r="L245" s="46"/>
      <x:c r="M245" s="43"/>
      <x:c r="N245" s="43"/>
      <x:c r="O245" s="43"/>
      <x:c r="P245" s="58" t="str">
        <x:f>IF(N245="","","Estantería "&amp;N245&amp;IF(O245="",""," - Balda "&amp;N245&amp;O245))</x:f>
      </x:c>
      <x:c r="Q245" s="37"/>
      <x:c r="R245" s="37"/>
      <x:c r="S245" s="49"/>
      <x:c r="T245" s="37"/>
      <x:c r="U245" s="37"/>
      <x:c r="V245" s="37"/>
      <x:c r="W245" s="34"/>
      <x:c r="X245" s="52"/>
      <x:c r="Y245" s="61" t="str">
        <x:f>IF(A245="","",IF(COUNTIF($A$6:$A$605,A245)&gt;1,"DUPLICADO","OK"))</x:f>
      </x:c>
      <x:c r="Z245" s="61" t="str">
        <x:f>IF(A245="","",IF(C245="","FALTA TÍTULO",IF(E245="","FALTA ÁREA",IF(W245&lt;&gt;"Sí","PENDIENTE","LISTO"))))</x:f>
      </x:c>
    </x:row>
    <x:row r="246">
      <x:c r="A246" s="40"/>
      <x:c r="B246" s="40"/>
      <x:c r="C246" s="37"/>
      <x:c r="D246" s="37"/>
      <x:c r="E246" s="37"/>
      <x:c r="F246" s="43"/>
      <x:c r="G246" s="43"/>
      <x:c r="H246" s="43"/>
      <x:c r="I246" s="55" t="str">
        <x:f>IF(OR(F246="",G246="",H246=""),"",F246&amp;" "&amp;UPPER(G246)&amp;"."&amp;LOWER(H246))</x:f>
      </x:c>
      <x:c r="J246" s="37"/>
      <x:c r="K246" s="37"/>
      <x:c r="L246" s="46"/>
      <x:c r="M246" s="43"/>
      <x:c r="N246" s="43"/>
      <x:c r="O246" s="43"/>
      <x:c r="P246" s="58" t="str">
        <x:f>IF(N246="","","Estantería "&amp;N246&amp;IF(O246="",""," - Balda "&amp;N246&amp;O246))</x:f>
      </x:c>
      <x:c r="Q246" s="37"/>
      <x:c r="R246" s="37"/>
      <x:c r="S246" s="49"/>
      <x:c r="T246" s="37"/>
      <x:c r="U246" s="37"/>
      <x:c r="V246" s="37"/>
      <x:c r="W246" s="34"/>
      <x:c r="X246" s="52"/>
      <x:c r="Y246" s="61" t="str">
        <x:f>IF(A246="","",IF(COUNTIF($A$6:$A$605,A246)&gt;1,"DUPLICADO","OK"))</x:f>
      </x:c>
      <x:c r="Z246" s="61" t="str">
        <x:f>IF(A246="","",IF(C246="","FALTA TÍTULO",IF(E246="","FALTA ÁREA",IF(W246&lt;&gt;"Sí","PENDIENTE","LISTO"))))</x:f>
      </x:c>
    </x:row>
    <x:row r="247">
      <x:c r="A247" s="40"/>
      <x:c r="B247" s="40"/>
      <x:c r="C247" s="37"/>
      <x:c r="D247" s="37"/>
      <x:c r="E247" s="37"/>
      <x:c r="F247" s="43"/>
      <x:c r="G247" s="43"/>
      <x:c r="H247" s="43"/>
      <x:c r="I247" s="55" t="str">
        <x:f>IF(OR(F247="",G247="",H247=""),"",F247&amp;" "&amp;UPPER(G247)&amp;"."&amp;LOWER(H247))</x:f>
      </x:c>
      <x:c r="J247" s="37"/>
      <x:c r="K247" s="37"/>
      <x:c r="L247" s="46"/>
      <x:c r="M247" s="43"/>
      <x:c r="N247" s="43"/>
      <x:c r="O247" s="43"/>
      <x:c r="P247" s="58" t="str">
        <x:f>IF(N247="","","Estantería "&amp;N247&amp;IF(O247="",""," - Balda "&amp;N247&amp;O247))</x:f>
      </x:c>
      <x:c r="Q247" s="37"/>
      <x:c r="R247" s="37"/>
      <x:c r="S247" s="49"/>
      <x:c r="T247" s="37"/>
      <x:c r="U247" s="37"/>
      <x:c r="V247" s="37"/>
      <x:c r="W247" s="34"/>
      <x:c r="X247" s="52"/>
      <x:c r="Y247" s="61" t="str">
        <x:f>IF(A247="","",IF(COUNTIF($A$6:$A$605,A247)&gt;1,"DUPLICADO","OK"))</x:f>
      </x:c>
      <x:c r="Z247" s="61" t="str">
        <x:f>IF(A247="","",IF(C247="","FALTA TÍTULO",IF(E247="","FALTA ÁREA",IF(W247&lt;&gt;"Sí","PENDIENTE","LISTO"))))</x:f>
      </x:c>
    </x:row>
    <x:row r="248">
      <x:c r="A248" s="40"/>
      <x:c r="B248" s="40"/>
      <x:c r="C248" s="37"/>
      <x:c r="D248" s="37"/>
      <x:c r="E248" s="37"/>
      <x:c r="F248" s="43"/>
      <x:c r="G248" s="43"/>
      <x:c r="H248" s="43"/>
      <x:c r="I248" s="55" t="str">
        <x:f>IF(OR(F248="",G248="",H248=""),"",F248&amp;" "&amp;UPPER(G248)&amp;"."&amp;LOWER(H248))</x:f>
      </x:c>
      <x:c r="J248" s="37"/>
      <x:c r="K248" s="37"/>
      <x:c r="L248" s="46"/>
      <x:c r="M248" s="43"/>
      <x:c r="N248" s="43"/>
      <x:c r="O248" s="43"/>
      <x:c r="P248" s="58" t="str">
        <x:f>IF(N248="","","Estantería "&amp;N248&amp;IF(O248="",""," - Balda "&amp;N248&amp;O248))</x:f>
      </x:c>
      <x:c r="Q248" s="37"/>
      <x:c r="R248" s="37"/>
      <x:c r="S248" s="49"/>
      <x:c r="T248" s="37"/>
      <x:c r="U248" s="37"/>
      <x:c r="V248" s="37"/>
      <x:c r="W248" s="34"/>
      <x:c r="X248" s="52"/>
      <x:c r="Y248" s="61" t="str">
        <x:f>IF(A248="","",IF(COUNTIF($A$6:$A$605,A248)&gt;1,"DUPLICADO","OK"))</x:f>
      </x:c>
      <x:c r="Z248" s="61" t="str">
        <x:f>IF(A248="","",IF(C248="","FALTA TÍTULO",IF(E248="","FALTA ÁREA",IF(W248&lt;&gt;"Sí","PENDIENTE","LISTO"))))</x:f>
      </x:c>
    </x:row>
    <x:row r="249">
      <x:c r="A249" s="40"/>
      <x:c r="B249" s="40"/>
      <x:c r="C249" s="37"/>
      <x:c r="D249" s="37"/>
      <x:c r="E249" s="37"/>
      <x:c r="F249" s="43"/>
      <x:c r="G249" s="43"/>
      <x:c r="H249" s="43"/>
      <x:c r="I249" s="55" t="str">
        <x:f>IF(OR(F249="",G249="",H249=""),"",F249&amp;" "&amp;UPPER(G249)&amp;"."&amp;LOWER(H249))</x:f>
      </x:c>
      <x:c r="J249" s="37"/>
      <x:c r="K249" s="37"/>
      <x:c r="L249" s="46"/>
      <x:c r="M249" s="43"/>
      <x:c r="N249" s="43"/>
      <x:c r="O249" s="43"/>
      <x:c r="P249" s="58" t="str">
        <x:f>IF(N249="","","Estantería "&amp;N249&amp;IF(O249="",""," - Balda "&amp;N249&amp;O249))</x:f>
      </x:c>
      <x:c r="Q249" s="37"/>
      <x:c r="R249" s="37"/>
      <x:c r="S249" s="49"/>
      <x:c r="T249" s="37"/>
      <x:c r="U249" s="37"/>
      <x:c r="V249" s="37"/>
      <x:c r="W249" s="34"/>
      <x:c r="X249" s="52"/>
      <x:c r="Y249" s="61" t="str">
        <x:f>IF(A249="","",IF(COUNTIF($A$6:$A$605,A249)&gt;1,"DUPLICADO","OK"))</x:f>
      </x:c>
      <x:c r="Z249" s="61" t="str">
        <x:f>IF(A249="","",IF(C249="","FALTA TÍTULO",IF(E249="","FALTA ÁREA",IF(W249&lt;&gt;"Sí","PENDIENTE","LISTO"))))</x:f>
      </x:c>
    </x:row>
    <x:row r="250">
      <x:c r="A250" s="40"/>
      <x:c r="B250" s="40"/>
      <x:c r="C250" s="37"/>
      <x:c r="D250" s="37"/>
      <x:c r="E250" s="37"/>
      <x:c r="F250" s="43"/>
      <x:c r="G250" s="43"/>
      <x:c r="H250" s="43"/>
      <x:c r="I250" s="55" t="str">
        <x:f>IF(OR(F250="",G250="",H250=""),"",F250&amp;" "&amp;UPPER(G250)&amp;"."&amp;LOWER(H250))</x:f>
      </x:c>
      <x:c r="J250" s="37"/>
      <x:c r="K250" s="37"/>
      <x:c r="L250" s="46"/>
      <x:c r="M250" s="43"/>
      <x:c r="N250" s="43"/>
      <x:c r="O250" s="43"/>
      <x:c r="P250" s="58" t="str">
        <x:f>IF(N250="","","Estantería "&amp;N250&amp;IF(O250="",""," - Balda "&amp;N250&amp;O250))</x:f>
      </x:c>
      <x:c r="Q250" s="37"/>
      <x:c r="R250" s="37"/>
      <x:c r="S250" s="49"/>
      <x:c r="T250" s="37"/>
      <x:c r="U250" s="37"/>
      <x:c r="V250" s="37"/>
      <x:c r="W250" s="34"/>
      <x:c r="X250" s="52"/>
      <x:c r="Y250" s="61" t="str">
        <x:f>IF(A250="","",IF(COUNTIF($A$6:$A$605,A250)&gt;1,"DUPLICADO","OK"))</x:f>
      </x:c>
      <x:c r="Z250" s="61" t="str">
        <x:f>IF(A250="","",IF(C250="","FALTA TÍTULO",IF(E250="","FALTA ÁREA",IF(W250&lt;&gt;"Sí","PENDIENTE","LISTO"))))</x:f>
      </x:c>
    </x:row>
    <x:row r="251">
      <x:c r="A251" s="40"/>
      <x:c r="B251" s="40"/>
      <x:c r="C251" s="37"/>
      <x:c r="D251" s="37"/>
      <x:c r="E251" s="37"/>
      <x:c r="F251" s="43"/>
      <x:c r="G251" s="43"/>
      <x:c r="H251" s="43"/>
      <x:c r="I251" s="55" t="str">
        <x:f>IF(OR(F251="",G251="",H251=""),"",F251&amp;" "&amp;UPPER(G251)&amp;"."&amp;LOWER(H251))</x:f>
      </x:c>
      <x:c r="J251" s="37"/>
      <x:c r="K251" s="37"/>
      <x:c r="L251" s="46"/>
      <x:c r="M251" s="43"/>
      <x:c r="N251" s="43"/>
      <x:c r="O251" s="43"/>
      <x:c r="P251" s="58" t="str">
        <x:f>IF(N251="","","Estantería "&amp;N251&amp;IF(O251="",""," - Balda "&amp;N251&amp;O251))</x:f>
      </x:c>
      <x:c r="Q251" s="37"/>
      <x:c r="R251" s="37"/>
      <x:c r="S251" s="49"/>
      <x:c r="T251" s="37"/>
      <x:c r="U251" s="37"/>
      <x:c r="V251" s="37"/>
      <x:c r="W251" s="34"/>
      <x:c r="X251" s="52"/>
      <x:c r="Y251" s="61" t="str">
        <x:f>IF(A251="","",IF(COUNTIF($A$6:$A$605,A251)&gt;1,"DUPLICADO","OK"))</x:f>
      </x:c>
      <x:c r="Z251" s="61" t="str">
        <x:f>IF(A251="","",IF(C251="","FALTA TÍTULO",IF(E251="","FALTA ÁREA",IF(W251&lt;&gt;"Sí","PENDIENTE","LISTO"))))</x:f>
      </x:c>
    </x:row>
    <x:row r="252">
      <x:c r="A252" s="40"/>
      <x:c r="B252" s="40"/>
      <x:c r="C252" s="37"/>
      <x:c r="D252" s="37"/>
      <x:c r="E252" s="37"/>
      <x:c r="F252" s="43"/>
      <x:c r="G252" s="43"/>
      <x:c r="H252" s="43"/>
      <x:c r="I252" s="55" t="str">
        <x:f>IF(OR(F252="",G252="",H252=""),"",F252&amp;" "&amp;UPPER(G252)&amp;"."&amp;LOWER(H252))</x:f>
      </x:c>
      <x:c r="J252" s="37"/>
      <x:c r="K252" s="37"/>
      <x:c r="L252" s="46"/>
      <x:c r="M252" s="43"/>
      <x:c r="N252" s="43"/>
      <x:c r="O252" s="43"/>
      <x:c r="P252" s="58" t="str">
        <x:f>IF(N252="","","Estantería "&amp;N252&amp;IF(O252="",""," - Balda "&amp;N252&amp;O252))</x:f>
      </x:c>
      <x:c r="Q252" s="37"/>
      <x:c r="R252" s="37"/>
      <x:c r="S252" s="49"/>
      <x:c r="T252" s="37"/>
      <x:c r="U252" s="37"/>
      <x:c r="V252" s="37"/>
      <x:c r="W252" s="34"/>
      <x:c r="X252" s="52"/>
      <x:c r="Y252" s="61" t="str">
        <x:f>IF(A252="","",IF(COUNTIF($A$6:$A$605,A252)&gt;1,"DUPLICADO","OK"))</x:f>
      </x:c>
      <x:c r="Z252" s="61" t="str">
        <x:f>IF(A252="","",IF(C252="","FALTA TÍTULO",IF(E252="","FALTA ÁREA",IF(W252&lt;&gt;"Sí","PENDIENTE","LISTO"))))</x:f>
      </x:c>
    </x:row>
    <x:row r="253">
      <x:c r="A253" s="40"/>
      <x:c r="B253" s="40"/>
      <x:c r="C253" s="37"/>
      <x:c r="D253" s="37"/>
      <x:c r="E253" s="37"/>
      <x:c r="F253" s="43"/>
      <x:c r="G253" s="43"/>
      <x:c r="H253" s="43"/>
      <x:c r="I253" s="55" t="str">
        <x:f>IF(OR(F253="",G253="",H253=""),"",F253&amp;" "&amp;UPPER(G253)&amp;"."&amp;LOWER(H253))</x:f>
      </x:c>
      <x:c r="J253" s="37"/>
      <x:c r="K253" s="37"/>
      <x:c r="L253" s="46"/>
      <x:c r="M253" s="43"/>
      <x:c r="N253" s="43"/>
      <x:c r="O253" s="43"/>
      <x:c r="P253" s="58" t="str">
        <x:f>IF(N253="","","Estantería "&amp;N253&amp;IF(O253="",""," - Balda "&amp;N253&amp;O253))</x:f>
      </x:c>
      <x:c r="Q253" s="37"/>
      <x:c r="R253" s="37"/>
      <x:c r="S253" s="49"/>
      <x:c r="T253" s="37"/>
      <x:c r="U253" s="37"/>
      <x:c r="V253" s="37"/>
      <x:c r="W253" s="34"/>
      <x:c r="X253" s="52"/>
      <x:c r="Y253" s="61" t="str">
        <x:f>IF(A253="","",IF(COUNTIF($A$6:$A$605,A253)&gt;1,"DUPLICADO","OK"))</x:f>
      </x:c>
      <x:c r="Z253" s="61" t="str">
        <x:f>IF(A253="","",IF(C253="","FALTA TÍTULO",IF(E253="","FALTA ÁREA",IF(W253&lt;&gt;"Sí","PENDIENTE","LISTO"))))</x:f>
      </x:c>
    </x:row>
    <x:row r="254">
      <x:c r="A254" s="40"/>
      <x:c r="B254" s="40"/>
      <x:c r="C254" s="37"/>
      <x:c r="D254" s="37"/>
      <x:c r="E254" s="37"/>
      <x:c r="F254" s="43"/>
      <x:c r="G254" s="43"/>
      <x:c r="H254" s="43"/>
      <x:c r="I254" s="55" t="str">
        <x:f>IF(OR(F254="",G254="",H254=""),"",F254&amp;" "&amp;UPPER(G254)&amp;"."&amp;LOWER(H254))</x:f>
      </x:c>
      <x:c r="J254" s="37"/>
      <x:c r="K254" s="37"/>
      <x:c r="L254" s="46"/>
      <x:c r="M254" s="43"/>
      <x:c r="N254" s="43"/>
      <x:c r="O254" s="43"/>
      <x:c r="P254" s="58" t="str">
        <x:f>IF(N254="","","Estantería "&amp;N254&amp;IF(O254="",""," - Balda "&amp;N254&amp;O254))</x:f>
      </x:c>
      <x:c r="Q254" s="37"/>
      <x:c r="R254" s="37"/>
      <x:c r="S254" s="49"/>
      <x:c r="T254" s="37"/>
      <x:c r="U254" s="37"/>
      <x:c r="V254" s="37"/>
      <x:c r="W254" s="34"/>
      <x:c r="X254" s="52"/>
      <x:c r="Y254" s="61" t="str">
        <x:f>IF(A254="","",IF(COUNTIF($A$6:$A$605,A254)&gt;1,"DUPLICADO","OK"))</x:f>
      </x:c>
      <x:c r="Z254" s="61" t="str">
        <x:f>IF(A254="","",IF(C254="","FALTA TÍTULO",IF(E254="","FALTA ÁREA",IF(W254&lt;&gt;"Sí","PENDIENTE","LISTO"))))</x:f>
      </x:c>
    </x:row>
    <x:row r="255">
      <x:c r="A255" s="40"/>
      <x:c r="B255" s="40"/>
      <x:c r="C255" s="37"/>
      <x:c r="D255" s="37"/>
      <x:c r="E255" s="37"/>
      <x:c r="F255" s="43"/>
      <x:c r="G255" s="43"/>
      <x:c r="H255" s="43"/>
      <x:c r="I255" s="55" t="str">
        <x:f>IF(OR(F255="",G255="",H255=""),"",F255&amp;" "&amp;UPPER(G255)&amp;"."&amp;LOWER(H255))</x:f>
      </x:c>
      <x:c r="J255" s="37"/>
      <x:c r="K255" s="37"/>
      <x:c r="L255" s="46"/>
      <x:c r="M255" s="43"/>
      <x:c r="N255" s="43"/>
      <x:c r="O255" s="43"/>
      <x:c r="P255" s="58" t="str">
        <x:f>IF(N255="","","Estantería "&amp;N255&amp;IF(O255="",""," - Balda "&amp;N255&amp;O255))</x:f>
      </x:c>
      <x:c r="Q255" s="37"/>
      <x:c r="R255" s="37"/>
      <x:c r="S255" s="49"/>
      <x:c r="T255" s="37"/>
      <x:c r="U255" s="37"/>
      <x:c r="V255" s="37"/>
      <x:c r="W255" s="34"/>
      <x:c r="X255" s="52"/>
      <x:c r="Y255" s="61" t="str">
        <x:f>IF(A255="","",IF(COUNTIF($A$6:$A$605,A255)&gt;1,"DUPLICADO","OK"))</x:f>
      </x:c>
      <x:c r="Z255" s="61" t="str">
        <x:f>IF(A255="","",IF(C255="","FALTA TÍTULO",IF(E255="","FALTA ÁREA",IF(W255&lt;&gt;"Sí","PENDIENTE","LISTO"))))</x:f>
      </x:c>
    </x:row>
    <x:row r="256">
      <x:c r="A256" s="40"/>
      <x:c r="B256" s="40"/>
      <x:c r="C256" s="37"/>
      <x:c r="D256" s="37"/>
      <x:c r="E256" s="37"/>
      <x:c r="F256" s="43"/>
      <x:c r="G256" s="43"/>
      <x:c r="H256" s="43"/>
      <x:c r="I256" s="55" t="str">
        <x:f>IF(OR(F256="",G256="",H256=""),"",F256&amp;" "&amp;UPPER(G256)&amp;"."&amp;LOWER(H256))</x:f>
      </x:c>
      <x:c r="J256" s="37"/>
      <x:c r="K256" s="37"/>
      <x:c r="L256" s="46"/>
      <x:c r="M256" s="43"/>
      <x:c r="N256" s="43"/>
      <x:c r="O256" s="43"/>
      <x:c r="P256" s="58" t="str">
        <x:f>IF(N256="","","Estantería "&amp;N256&amp;IF(O256="",""," - Balda "&amp;N256&amp;O256))</x:f>
      </x:c>
      <x:c r="Q256" s="37"/>
      <x:c r="R256" s="37"/>
      <x:c r="S256" s="49"/>
      <x:c r="T256" s="37"/>
      <x:c r="U256" s="37"/>
      <x:c r="V256" s="37"/>
      <x:c r="W256" s="34"/>
      <x:c r="X256" s="52"/>
      <x:c r="Y256" s="61" t="str">
        <x:f>IF(A256="","",IF(COUNTIF($A$6:$A$605,A256)&gt;1,"DUPLICADO","OK"))</x:f>
      </x:c>
      <x:c r="Z256" s="61" t="str">
        <x:f>IF(A256="","",IF(C256="","FALTA TÍTULO",IF(E256="","FALTA ÁREA",IF(W256&lt;&gt;"Sí","PENDIENTE","LISTO"))))</x:f>
      </x:c>
    </x:row>
    <x:row r="257">
      <x:c r="A257" s="40"/>
      <x:c r="B257" s="40"/>
      <x:c r="C257" s="37"/>
      <x:c r="D257" s="37"/>
      <x:c r="E257" s="37"/>
      <x:c r="F257" s="43"/>
      <x:c r="G257" s="43"/>
      <x:c r="H257" s="43"/>
      <x:c r="I257" s="55" t="str">
        <x:f>IF(OR(F257="",G257="",H257=""),"",F257&amp;" "&amp;UPPER(G257)&amp;"."&amp;LOWER(H257))</x:f>
      </x:c>
      <x:c r="J257" s="37"/>
      <x:c r="K257" s="37"/>
      <x:c r="L257" s="46"/>
      <x:c r="M257" s="43"/>
      <x:c r="N257" s="43"/>
      <x:c r="O257" s="43"/>
      <x:c r="P257" s="58" t="str">
        <x:f>IF(N257="","","Estantería "&amp;N257&amp;IF(O257="",""," - Balda "&amp;N257&amp;O257))</x:f>
      </x:c>
      <x:c r="Q257" s="37"/>
      <x:c r="R257" s="37"/>
      <x:c r="S257" s="49"/>
      <x:c r="T257" s="37"/>
      <x:c r="U257" s="37"/>
      <x:c r="V257" s="37"/>
      <x:c r="W257" s="34"/>
      <x:c r="X257" s="52"/>
      <x:c r="Y257" s="61" t="str">
        <x:f>IF(A257="","",IF(COUNTIF($A$6:$A$605,A257)&gt;1,"DUPLICADO","OK"))</x:f>
      </x:c>
      <x:c r="Z257" s="61" t="str">
        <x:f>IF(A257="","",IF(C257="","FALTA TÍTULO",IF(E257="","FALTA ÁREA",IF(W257&lt;&gt;"Sí","PENDIENTE","LISTO"))))</x:f>
      </x:c>
    </x:row>
    <x:row r="258">
      <x:c r="A258" s="40"/>
      <x:c r="B258" s="40"/>
      <x:c r="C258" s="37"/>
      <x:c r="D258" s="37"/>
      <x:c r="E258" s="37"/>
      <x:c r="F258" s="43"/>
      <x:c r="G258" s="43"/>
      <x:c r="H258" s="43"/>
      <x:c r="I258" s="55" t="str">
        <x:f>IF(OR(F258="",G258="",H258=""),"",F258&amp;" "&amp;UPPER(G258)&amp;"."&amp;LOWER(H258))</x:f>
      </x:c>
      <x:c r="J258" s="37"/>
      <x:c r="K258" s="37"/>
      <x:c r="L258" s="46"/>
      <x:c r="M258" s="43"/>
      <x:c r="N258" s="43"/>
      <x:c r="O258" s="43"/>
      <x:c r="P258" s="58" t="str">
        <x:f>IF(N258="","","Estantería "&amp;N258&amp;IF(O258="",""," - Balda "&amp;N258&amp;O258))</x:f>
      </x:c>
      <x:c r="Q258" s="37"/>
      <x:c r="R258" s="37"/>
      <x:c r="S258" s="49"/>
      <x:c r="T258" s="37"/>
      <x:c r="U258" s="37"/>
      <x:c r="V258" s="37"/>
      <x:c r="W258" s="34"/>
      <x:c r="X258" s="52"/>
      <x:c r="Y258" s="61" t="str">
        <x:f>IF(A258="","",IF(COUNTIF($A$6:$A$605,A258)&gt;1,"DUPLICADO","OK"))</x:f>
      </x:c>
      <x:c r="Z258" s="61" t="str">
        <x:f>IF(A258="","",IF(C258="","FALTA TÍTULO",IF(E258="","FALTA ÁREA",IF(W258&lt;&gt;"Sí","PENDIENTE","LISTO"))))</x:f>
      </x:c>
    </x:row>
    <x:row r="259">
      <x:c r="A259" s="40"/>
      <x:c r="B259" s="40"/>
      <x:c r="C259" s="37"/>
      <x:c r="D259" s="37"/>
      <x:c r="E259" s="37"/>
      <x:c r="F259" s="43"/>
      <x:c r="G259" s="43"/>
      <x:c r="H259" s="43"/>
      <x:c r="I259" s="55" t="str">
        <x:f>IF(OR(F259="",G259="",H259=""),"",F259&amp;" "&amp;UPPER(G259)&amp;"."&amp;LOWER(H259))</x:f>
      </x:c>
      <x:c r="J259" s="37"/>
      <x:c r="K259" s="37"/>
      <x:c r="L259" s="46"/>
      <x:c r="M259" s="43"/>
      <x:c r="N259" s="43"/>
      <x:c r="O259" s="43"/>
      <x:c r="P259" s="58" t="str">
        <x:f>IF(N259="","","Estantería "&amp;N259&amp;IF(O259="",""," - Balda "&amp;N259&amp;O259))</x:f>
      </x:c>
      <x:c r="Q259" s="37"/>
      <x:c r="R259" s="37"/>
      <x:c r="S259" s="49"/>
      <x:c r="T259" s="37"/>
      <x:c r="U259" s="37"/>
      <x:c r="V259" s="37"/>
      <x:c r="W259" s="34"/>
      <x:c r="X259" s="52"/>
      <x:c r="Y259" s="61" t="str">
        <x:f>IF(A259="","",IF(COUNTIF($A$6:$A$605,A259)&gt;1,"DUPLICADO","OK"))</x:f>
      </x:c>
      <x:c r="Z259" s="61" t="str">
        <x:f>IF(A259="","",IF(C259="","FALTA TÍTULO",IF(E259="","FALTA ÁREA",IF(W259&lt;&gt;"Sí","PENDIENTE","LISTO"))))</x:f>
      </x:c>
    </x:row>
    <x:row r="260">
      <x:c r="A260" s="40"/>
      <x:c r="B260" s="40"/>
      <x:c r="C260" s="37"/>
      <x:c r="D260" s="37"/>
      <x:c r="E260" s="37"/>
      <x:c r="F260" s="43"/>
      <x:c r="G260" s="43"/>
      <x:c r="H260" s="43"/>
      <x:c r="I260" s="55" t="str">
        <x:f>IF(OR(F260="",G260="",H260=""),"",F260&amp;" "&amp;UPPER(G260)&amp;"."&amp;LOWER(H260))</x:f>
      </x:c>
      <x:c r="J260" s="37"/>
      <x:c r="K260" s="37"/>
      <x:c r="L260" s="46"/>
      <x:c r="M260" s="43"/>
      <x:c r="N260" s="43"/>
      <x:c r="O260" s="43"/>
      <x:c r="P260" s="58" t="str">
        <x:f>IF(N260="","","Estantería "&amp;N260&amp;IF(O260="",""," - Balda "&amp;N260&amp;O260))</x:f>
      </x:c>
      <x:c r="Q260" s="37"/>
      <x:c r="R260" s="37"/>
      <x:c r="S260" s="49"/>
      <x:c r="T260" s="37"/>
      <x:c r="U260" s="37"/>
      <x:c r="V260" s="37"/>
      <x:c r="W260" s="34"/>
      <x:c r="X260" s="52"/>
      <x:c r="Y260" s="61" t="str">
        <x:f>IF(A260="","",IF(COUNTIF($A$6:$A$605,A260)&gt;1,"DUPLICADO","OK"))</x:f>
      </x:c>
      <x:c r="Z260" s="61" t="str">
        <x:f>IF(A260="","",IF(C260="","FALTA TÍTULO",IF(E260="","FALTA ÁREA",IF(W260&lt;&gt;"Sí","PENDIENTE","LISTO"))))</x:f>
      </x:c>
    </x:row>
    <x:row r="261">
      <x:c r="A261" s="40"/>
      <x:c r="B261" s="40"/>
      <x:c r="C261" s="37"/>
      <x:c r="D261" s="37"/>
      <x:c r="E261" s="37"/>
      <x:c r="F261" s="43"/>
      <x:c r="G261" s="43"/>
      <x:c r="H261" s="43"/>
      <x:c r="I261" s="55" t="str">
        <x:f>IF(OR(F261="",G261="",H261=""),"",F261&amp;" "&amp;UPPER(G261)&amp;"."&amp;LOWER(H261))</x:f>
      </x:c>
      <x:c r="J261" s="37"/>
      <x:c r="K261" s="37"/>
      <x:c r="L261" s="46"/>
      <x:c r="M261" s="43"/>
      <x:c r="N261" s="43"/>
      <x:c r="O261" s="43"/>
      <x:c r="P261" s="58" t="str">
        <x:f>IF(N261="","","Estantería "&amp;N261&amp;IF(O261="",""," - Balda "&amp;N261&amp;O261))</x:f>
      </x:c>
      <x:c r="Q261" s="37"/>
      <x:c r="R261" s="37"/>
      <x:c r="S261" s="49"/>
      <x:c r="T261" s="37"/>
      <x:c r="U261" s="37"/>
      <x:c r="V261" s="37"/>
      <x:c r="W261" s="34"/>
      <x:c r="X261" s="52"/>
      <x:c r="Y261" s="61" t="str">
        <x:f>IF(A261="","",IF(COUNTIF($A$6:$A$605,A261)&gt;1,"DUPLICADO","OK"))</x:f>
      </x:c>
      <x:c r="Z261" s="61" t="str">
        <x:f>IF(A261="","",IF(C261="","FALTA TÍTULO",IF(E261="","FALTA ÁREA",IF(W261&lt;&gt;"Sí","PENDIENTE","LISTO"))))</x:f>
      </x:c>
    </x:row>
    <x:row r="262">
      <x:c r="A262" s="40"/>
      <x:c r="B262" s="40"/>
      <x:c r="C262" s="37"/>
      <x:c r="D262" s="37"/>
      <x:c r="E262" s="37"/>
      <x:c r="F262" s="43"/>
      <x:c r="G262" s="43"/>
      <x:c r="H262" s="43"/>
      <x:c r="I262" s="55" t="str">
        <x:f>IF(OR(F262="",G262="",H262=""),"",F262&amp;" "&amp;UPPER(G262)&amp;"."&amp;LOWER(H262))</x:f>
      </x:c>
      <x:c r="J262" s="37"/>
      <x:c r="K262" s="37"/>
      <x:c r="L262" s="46"/>
      <x:c r="M262" s="43"/>
      <x:c r="N262" s="43"/>
      <x:c r="O262" s="43"/>
      <x:c r="P262" s="58" t="str">
        <x:f>IF(N262="","","Estantería "&amp;N262&amp;IF(O262="",""," - Balda "&amp;N262&amp;O262))</x:f>
      </x:c>
      <x:c r="Q262" s="37"/>
      <x:c r="R262" s="37"/>
      <x:c r="S262" s="49"/>
      <x:c r="T262" s="37"/>
      <x:c r="U262" s="37"/>
      <x:c r="V262" s="37"/>
      <x:c r="W262" s="34"/>
      <x:c r="X262" s="52"/>
      <x:c r="Y262" s="61" t="str">
        <x:f>IF(A262="","",IF(COUNTIF($A$6:$A$605,A262)&gt;1,"DUPLICADO","OK"))</x:f>
      </x:c>
      <x:c r="Z262" s="61" t="str">
        <x:f>IF(A262="","",IF(C262="","FALTA TÍTULO",IF(E262="","FALTA ÁREA",IF(W262&lt;&gt;"Sí","PENDIENTE","LISTO"))))</x:f>
      </x:c>
    </x:row>
    <x:row r="263">
      <x:c r="A263" s="40"/>
      <x:c r="B263" s="40"/>
      <x:c r="C263" s="37"/>
      <x:c r="D263" s="37"/>
      <x:c r="E263" s="37"/>
      <x:c r="F263" s="43"/>
      <x:c r="G263" s="43"/>
      <x:c r="H263" s="43"/>
      <x:c r="I263" s="55" t="str">
        <x:f>IF(OR(F263="",G263="",H263=""),"",F263&amp;" "&amp;UPPER(G263)&amp;"."&amp;LOWER(H263))</x:f>
      </x:c>
      <x:c r="J263" s="37"/>
      <x:c r="K263" s="37"/>
      <x:c r="L263" s="46"/>
      <x:c r="M263" s="43"/>
      <x:c r="N263" s="43"/>
      <x:c r="O263" s="43"/>
      <x:c r="P263" s="58" t="str">
        <x:f>IF(N263="","","Estantería "&amp;N263&amp;IF(O263="",""," - Balda "&amp;N263&amp;O263))</x:f>
      </x:c>
      <x:c r="Q263" s="37"/>
      <x:c r="R263" s="37"/>
      <x:c r="S263" s="49"/>
      <x:c r="T263" s="37"/>
      <x:c r="U263" s="37"/>
      <x:c r="V263" s="37"/>
      <x:c r="W263" s="34"/>
      <x:c r="X263" s="52"/>
      <x:c r="Y263" s="61" t="str">
        <x:f>IF(A263="","",IF(COUNTIF($A$6:$A$605,A263)&gt;1,"DUPLICADO","OK"))</x:f>
      </x:c>
      <x:c r="Z263" s="61" t="str">
        <x:f>IF(A263="","",IF(C263="","FALTA TÍTULO",IF(E263="","FALTA ÁREA",IF(W263&lt;&gt;"Sí","PENDIENTE","LISTO"))))</x:f>
      </x:c>
    </x:row>
    <x:row r="264">
      <x:c r="A264" s="40"/>
      <x:c r="B264" s="40"/>
      <x:c r="C264" s="37"/>
      <x:c r="D264" s="37"/>
      <x:c r="E264" s="37"/>
      <x:c r="F264" s="43"/>
      <x:c r="G264" s="43"/>
      <x:c r="H264" s="43"/>
      <x:c r="I264" s="55" t="str">
        <x:f>IF(OR(F264="",G264="",H264=""),"",F264&amp;" "&amp;UPPER(G264)&amp;"."&amp;LOWER(H264))</x:f>
      </x:c>
      <x:c r="J264" s="37"/>
      <x:c r="K264" s="37"/>
      <x:c r="L264" s="46"/>
      <x:c r="M264" s="43"/>
      <x:c r="N264" s="43"/>
      <x:c r="O264" s="43"/>
      <x:c r="P264" s="58" t="str">
        <x:f>IF(N264="","","Estantería "&amp;N264&amp;IF(O264="",""," - Balda "&amp;N264&amp;O264))</x:f>
      </x:c>
      <x:c r="Q264" s="37"/>
      <x:c r="R264" s="37"/>
      <x:c r="S264" s="49"/>
      <x:c r="T264" s="37"/>
      <x:c r="U264" s="37"/>
      <x:c r="V264" s="37"/>
      <x:c r="W264" s="34"/>
      <x:c r="X264" s="52"/>
      <x:c r="Y264" s="61" t="str">
        <x:f>IF(A264="","",IF(COUNTIF($A$6:$A$605,A264)&gt;1,"DUPLICADO","OK"))</x:f>
      </x:c>
      <x:c r="Z264" s="61" t="str">
        <x:f>IF(A264="","",IF(C264="","FALTA TÍTULO",IF(E264="","FALTA ÁREA",IF(W264&lt;&gt;"Sí","PENDIENTE","LISTO"))))</x:f>
      </x:c>
    </x:row>
    <x:row r="265">
      <x:c r="A265" s="40"/>
      <x:c r="B265" s="40"/>
      <x:c r="C265" s="37"/>
      <x:c r="D265" s="37"/>
      <x:c r="E265" s="37"/>
      <x:c r="F265" s="43"/>
      <x:c r="G265" s="43"/>
      <x:c r="H265" s="43"/>
      <x:c r="I265" s="55" t="str">
        <x:f>IF(OR(F265="",G265="",H265=""),"",F265&amp;" "&amp;UPPER(G265)&amp;"."&amp;LOWER(H265))</x:f>
      </x:c>
      <x:c r="J265" s="37"/>
      <x:c r="K265" s="37"/>
      <x:c r="L265" s="46"/>
      <x:c r="M265" s="43"/>
      <x:c r="N265" s="43"/>
      <x:c r="O265" s="43"/>
      <x:c r="P265" s="58" t="str">
        <x:f>IF(N265="","","Estantería "&amp;N265&amp;IF(O265="",""," - Balda "&amp;N265&amp;O265))</x:f>
      </x:c>
      <x:c r="Q265" s="37"/>
      <x:c r="R265" s="37"/>
      <x:c r="S265" s="49"/>
      <x:c r="T265" s="37"/>
      <x:c r="U265" s="37"/>
      <x:c r="V265" s="37"/>
      <x:c r="W265" s="34"/>
      <x:c r="X265" s="52"/>
      <x:c r="Y265" s="61" t="str">
        <x:f>IF(A265="","",IF(COUNTIF($A$6:$A$605,A265)&gt;1,"DUPLICADO","OK"))</x:f>
      </x:c>
      <x:c r="Z265" s="61" t="str">
        <x:f>IF(A265="","",IF(C265="","FALTA TÍTULO",IF(E265="","FALTA ÁREA",IF(W265&lt;&gt;"Sí","PENDIENTE","LISTO"))))</x:f>
      </x:c>
    </x:row>
    <x:row r="266">
      <x:c r="A266" s="40"/>
      <x:c r="B266" s="40"/>
      <x:c r="C266" s="37"/>
      <x:c r="D266" s="37"/>
      <x:c r="E266" s="37"/>
      <x:c r="F266" s="43"/>
      <x:c r="G266" s="43"/>
      <x:c r="H266" s="43"/>
      <x:c r="I266" s="55" t="str">
        <x:f>IF(OR(F266="",G266="",H266=""),"",F266&amp;" "&amp;UPPER(G266)&amp;"."&amp;LOWER(H266))</x:f>
      </x:c>
      <x:c r="J266" s="37"/>
      <x:c r="K266" s="37"/>
      <x:c r="L266" s="46"/>
      <x:c r="M266" s="43"/>
      <x:c r="N266" s="43"/>
      <x:c r="O266" s="43"/>
      <x:c r="P266" s="58" t="str">
        <x:f>IF(N266="","","Estantería "&amp;N266&amp;IF(O266="",""," - Balda "&amp;N266&amp;O266))</x:f>
      </x:c>
      <x:c r="Q266" s="37"/>
      <x:c r="R266" s="37"/>
      <x:c r="S266" s="49"/>
      <x:c r="T266" s="37"/>
      <x:c r="U266" s="37"/>
      <x:c r="V266" s="37"/>
      <x:c r="W266" s="34"/>
      <x:c r="X266" s="52"/>
      <x:c r="Y266" s="61" t="str">
        <x:f>IF(A266="","",IF(COUNTIF($A$6:$A$605,A266)&gt;1,"DUPLICADO","OK"))</x:f>
      </x:c>
      <x:c r="Z266" s="61" t="str">
        <x:f>IF(A266="","",IF(C266="","FALTA TÍTULO",IF(E266="","FALTA ÁREA",IF(W266&lt;&gt;"Sí","PENDIENTE","LISTO"))))</x:f>
      </x:c>
    </x:row>
    <x:row r="267">
      <x:c r="A267" s="40"/>
      <x:c r="B267" s="40"/>
      <x:c r="C267" s="37"/>
      <x:c r="D267" s="37"/>
      <x:c r="E267" s="37"/>
      <x:c r="F267" s="43"/>
      <x:c r="G267" s="43"/>
      <x:c r="H267" s="43"/>
      <x:c r="I267" s="55" t="str">
        <x:f>IF(OR(F267="",G267="",H267=""),"",F267&amp;" "&amp;UPPER(G267)&amp;"."&amp;LOWER(H267))</x:f>
      </x:c>
      <x:c r="J267" s="37"/>
      <x:c r="K267" s="37"/>
      <x:c r="L267" s="46"/>
      <x:c r="M267" s="43"/>
      <x:c r="N267" s="43"/>
      <x:c r="O267" s="43"/>
      <x:c r="P267" s="58" t="str">
        <x:f>IF(N267="","","Estantería "&amp;N267&amp;IF(O267="",""," - Balda "&amp;N267&amp;O267))</x:f>
      </x:c>
      <x:c r="Q267" s="37"/>
      <x:c r="R267" s="37"/>
      <x:c r="S267" s="49"/>
      <x:c r="T267" s="37"/>
      <x:c r="U267" s="37"/>
      <x:c r="V267" s="37"/>
      <x:c r="W267" s="34"/>
      <x:c r="X267" s="52"/>
      <x:c r="Y267" s="61" t="str">
        <x:f>IF(A267="","",IF(COUNTIF($A$6:$A$605,A267)&gt;1,"DUPLICADO","OK"))</x:f>
      </x:c>
      <x:c r="Z267" s="61" t="str">
        <x:f>IF(A267="","",IF(C267="","FALTA TÍTULO",IF(E267="","FALTA ÁREA",IF(W267&lt;&gt;"Sí","PENDIENTE","LISTO"))))</x:f>
      </x:c>
    </x:row>
    <x:row r="268">
      <x:c r="A268" s="40"/>
      <x:c r="B268" s="40"/>
      <x:c r="C268" s="37"/>
      <x:c r="D268" s="37"/>
      <x:c r="E268" s="37"/>
      <x:c r="F268" s="43"/>
      <x:c r="G268" s="43"/>
      <x:c r="H268" s="43"/>
      <x:c r="I268" s="55" t="str">
        <x:f>IF(OR(F268="",G268="",H268=""),"",F268&amp;" "&amp;UPPER(G268)&amp;"."&amp;LOWER(H268))</x:f>
      </x:c>
      <x:c r="J268" s="37"/>
      <x:c r="K268" s="37"/>
      <x:c r="L268" s="46"/>
      <x:c r="M268" s="43"/>
      <x:c r="N268" s="43"/>
      <x:c r="O268" s="43"/>
      <x:c r="P268" s="58" t="str">
        <x:f>IF(N268="","","Estantería "&amp;N268&amp;IF(O268="",""," - Balda "&amp;N268&amp;O268))</x:f>
      </x:c>
      <x:c r="Q268" s="37"/>
      <x:c r="R268" s="37"/>
      <x:c r="S268" s="49"/>
      <x:c r="T268" s="37"/>
      <x:c r="U268" s="37"/>
      <x:c r="V268" s="37"/>
      <x:c r="W268" s="34"/>
      <x:c r="X268" s="52"/>
      <x:c r="Y268" s="61" t="str">
        <x:f>IF(A268="","",IF(COUNTIF($A$6:$A$605,A268)&gt;1,"DUPLICADO","OK"))</x:f>
      </x:c>
      <x:c r="Z268" s="61" t="str">
        <x:f>IF(A268="","",IF(C268="","FALTA TÍTULO",IF(E268="","FALTA ÁREA",IF(W268&lt;&gt;"Sí","PENDIENTE","LISTO"))))</x:f>
      </x:c>
    </x:row>
    <x:row r="269">
      <x:c r="A269" s="40"/>
      <x:c r="B269" s="40"/>
      <x:c r="C269" s="37"/>
      <x:c r="D269" s="37"/>
      <x:c r="E269" s="37"/>
      <x:c r="F269" s="43"/>
      <x:c r="G269" s="43"/>
      <x:c r="H269" s="43"/>
      <x:c r="I269" s="55" t="str">
        <x:f>IF(OR(F269="",G269="",H269=""),"",F269&amp;" "&amp;UPPER(G269)&amp;"."&amp;LOWER(H269))</x:f>
      </x:c>
      <x:c r="J269" s="37"/>
      <x:c r="K269" s="37"/>
      <x:c r="L269" s="46"/>
      <x:c r="M269" s="43"/>
      <x:c r="N269" s="43"/>
      <x:c r="O269" s="43"/>
      <x:c r="P269" s="58" t="str">
        <x:f>IF(N269="","","Estantería "&amp;N269&amp;IF(O269="",""," - Balda "&amp;N269&amp;O269))</x:f>
      </x:c>
      <x:c r="Q269" s="37"/>
      <x:c r="R269" s="37"/>
      <x:c r="S269" s="49"/>
      <x:c r="T269" s="37"/>
      <x:c r="U269" s="37"/>
      <x:c r="V269" s="37"/>
      <x:c r="W269" s="34"/>
      <x:c r="X269" s="52"/>
      <x:c r="Y269" s="61" t="str">
        <x:f>IF(A269="","",IF(COUNTIF($A$6:$A$605,A269)&gt;1,"DUPLICADO","OK"))</x:f>
      </x:c>
      <x:c r="Z269" s="61" t="str">
        <x:f>IF(A269="","",IF(C269="","FALTA TÍTULO",IF(E269="","FALTA ÁREA",IF(W269&lt;&gt;"Sí","PENDIENTE","LISTO"))))</x:f>
      </x:c>
    </x:row>
    <x:row r="270">
      <x:c r="A270" s="40"/>
      <x:c r="B270" s="40"/>
      <x:c r="C270" s="37"/>
      <x:c r="D270" s="37"/>
      <x:c r="E270" s="37"/>
      <x:c r="F270" s="43"/>
      <x:c r="G270" s="43"/>
      <x:c r="H270" s="43"/>
      <x:c r="I270" s="55" t="str">
        <x:f>IF(OR(F270="",G270="",H270=""),"",F270&amp;" "&amp;UPPER(G270)&amp;"."&amp;LOWER(H270))</x:f>
      </x:c>
      <x:c r="J270" s="37"/>
      <x:c r="K270" s="37"/>
      <x:c r="L270" s="46"/>
      <x:c r="M270" s="43"/>
      <x:c r="N270" s="43"/>
      <x:c r="O270" s="43"/>
      <x:c r="P270" s="58" t="str">
        <x:f>IF(N270="","","Estantería "&amp;N270&amp;IF(O270="",""," - Balda "&amp;N270&amp;O270))</x:f>
      </x:c>
      <x:c r="Q270" s="37"/>
      <x:c r="R270" s="37"/>
      <x:c r="S270" s="49"/>
      <x:c r="T270" s="37"/>
      <x:c r="U270" s="37"/>
      <x:c r="V270" s="37"/>
      <x:c r="W270" s="34"/>
      <x:c r="X270" s="52"/>
      <x:c r="Y270" s="61" t="str">
        <x:f>IF(A270="","",IF(COUNTIF($A$6:$A$605,A270)&gt;1,"DUPLICADO","OK"))</x:f>
      </x:c>
      <x:c r="Z270" s="61" t="str">
        <x:f>IF(A270="","",IF(C270="","FALTA TÍTULO",IF(E270="","FALTA ÁREA",IF(W270&lt;&gt;"Sí","PENDIENTE","LISTO"))))</x:f>
      </x:c>
    </x:row>
    <x:row r="271">
      <x:c r="A271" s="40"/>
      <x:c r="B271" s="40"/>
      <x:c r="C271" s="37"/>
      <x:c r="D271" s="37"/>
      <x:c r="E271" s="37"/>
      <x:c r="F271" s="43"/>
      <x:c r="G271" s="43"/>
      <x:c r="H271" s="43"/>
      <x:c r="I271" s="55" t="str">
        <x:f>IF(OR(F271="",G271="",H271=""),"",F271&amp;" "&amp;UPPER(G271)&amp;"."&amp;LOWER(H271))</x:f>
      </x:c>
      <x:c r="J271" s="37"/>
      <x:c r="K271" s="37"/>
      <x:c r="L271" s="46"/>
      <x:c r="M271" s="43"/>
      <x:c r="N271" s="43"/>
      <x:c r="O271" s="43"/>
      <x:c r="P271" s="58" t="str">
        <x:f>IF(N271="","","Estantería "&amp;N271&amp;IF(O271="",""," - Balda "&amp;N271&amp;O271))</x:f>
      </x:c>
      <x:c r="Q271" s="37"/>
      <x:c r="R271" s="37"/>
      <x:c r="S271" s="49"/>
      <x:c r="T271" s="37"/>
      <x:c r="U271" s="37"/>
      <x:c r="V271" s="37"/>
      <x:c r="W271" s="34"/>
      <x:c r="X271" s="52"/>
      <x:c r="Y271" s="61" t="str">
        <x:f>IF(A271="","",IF(COUNTIF($A$6:$A$605,A271)&gt;1,"DUPLICADO","OK"))</x:f>
      </x:c>
      <x:c r="Z271" s="61" t="str">
        <x:f>IF(A271="","",IF(C271="","FALTA TÍTULO",IF(E271="","FALTA ÁREA",IF(W271&lt;&gt;"Sí","PENDIENTE","LISTO"))))</x:f>
      </x:c>
    </x:row>
    <x:row r="272">
      <x:c r="A272" s="40"/>
      <x:c r="B272" s="40"/>
      <x:c r="C272" s="37"/>
      <x:c r="D272" s="37"/>
      <x:c r="E272" s="37"/>
      <x:c r="F272" s="43"/>
      <x:c r="G272" s="43"/>
      <x:c r="H272" s="43"/>
      <x:c r="I272" s="55" t="str">
        <x:f>IF(OR(F272="",G272="",H272=""),"",F272&amp;" "&amp;UPPER(G272)&amp;"."&amp;LOWER(H272))</x:f>
      </x:c>
      <x:c r="J272" s="37"/>
      <x:c r="K272" s="37"/>
      <x:c r="L272" s="46"/>
      <x:c r="M272" s="43"/>
      <x:c r="N272" s="43"/>
      <x:c r="O272" s="43"/>
      <x:c r="P272" s="58" t="str">
        <x:f>IF(N272="","","Estantería "&amp;N272&amp;IF(O272="",""," - Balda "&amp;N272&amp;O272))</x:f>
      </x:c>
      <x:c r="Q272" s="37"/>
      <x:c r="R272" s="37"/>
      <x:c r="S272" s="49"/>
      <x:c r="T272" s="37"/>
      <x:c r="U272" s="37"/>
      <x:c r="V272" s="37"/>
      <x:c r="W272" s="34"/>
      <x:c r="X272" s="52"/>
      <x:c r="Y272" s="61" t="str">
        <x:f>IF(A272="","",IF(COUNTIF($A$6:$A$605,A272)&gt;1,"DUPLICADO","OK"))</x:f>
      </x:c>
      <x:c r="Z272" s="61" t="str">
        <x:f>IF(A272="","",IF(C272="","FALTA TÍTULO",IF(E272="","FALTA ÁREA",IF(W272&lt;&gt;"Sí","PENDIENTE","LISTO"))))</x:f>
      </x:c>
    </x:row>
    <x:row r="273">
      <x:c r="A273" s="40"/>
      <x:c r="B273" s="40"/>
      <x:c r="C273" s="37"/>
      <x:c r="D273" s="37"/>
      <x:c r="E273" s="37"/>
      <x:c r="F273" s="43"/>
      <x:c r="G273" s="43"/>
      <x:c r="H273" s="43"/>
      <x:c r="I273" s="55" t="str">
        <x:f>IF(OR(F273="",G273="",H273=""),"",F273&amp;" "&amp;UPPER(G273)&amp;"."&amp;LOWER(H273))</x:f>
      </x:c>
      <x:c r="J273" s="37"/>
      <x:c r="K273" s="37"/>
      <x:c r="L273" s="46"/>
      <x:c r="M273" s="43"/>
      <x:c r="N273" s="43"/>
      <x:c r="O273" s="43"/>
      <x:c r="P273" s="58" t="str">
        <x:f>IF(N273="","","Estantería "&amp;N273&amp;IF(O273="",""," - Balda "&amp;N273&amp;O273))</x:f>
      </x:c>
      <x:c r="Q273" s="37"/>
      <x:c r="R273" s="37"/>
      <x:c r="S273" s="49"/>
      <x:c r="T273" s="37"/>
      <x:c r="U273" s="37"/>
      <x:c r="V273" s="37"/>
      <x:c r="W273" s="34"/>
      <x:c r="X273" s="52"/>
      <x:c r="Y273" s="61" t="str">
        <x:f>IF(A273="","",IF(COUNTIF($A$6:$A$605,A273)&gt;1,"DUPLICADO","OK"))</x:f>
      </x:c>
      <x:c r="Z273" s="61" t="str">
        <x:f>IF(A273="","",IF(C273="","FALTA TÍTULO",IF(E273="","FALTA ÁREA",IF(W273&lt;&gt;"Sí","PENDIENTE","LISTO"))))</x:f>
      </x:c>
    </x:row>
    <x:row r="274">
      <x:c r="A274" s="40"/>
      <x:c r="B274" s="40"/>
      <x:c r="C274" s="37"/>
      <x:c r="D274" s="37"/>
      <x:c r="E274" s="37"/>
      <x:c r="F274" s="43"/>
      <x:c r="G274" s="43"/>
      <x:c r="H274" s="43"/>
      <x:c r="I274" s="55" t="str">
        <x:f>IF(OR(F274="",G274="",H274=""),"",F274&amp;" "&amp;UPPER(G274)&amp;"."&amp;LOWER(H274))</x:f>
      </x:c>
      <x:c r="J274" s="37"/>
      <x:c r="K274" s="37"/>
      <x:c r="L274" s="46"/>
      <x:c r="M274" s="43"/>
      <x:c r="N274" s="43"/>
      <x:c r="O274" s="43"/>
      <x:c r="P274" s="58" t="str">
        <x:f>IF(N274="","","Estantería "&amp;N274&amp;IF(O274="",""," - Balda "&amp;N274&amp;O274))</x:f>
      </x:c>
      <x:c r="Q274" s="37"/>
      <x:c r="R274" s="37"/>
      <x:c r="S274" s="49"/>
      <x:c r="T274" s="37"/>
      <x:c r="U274" s="37"/>
      <x:c r="V274" s="37"/>
      <x:c r="W274" s="34"/>
      <x:c r="X274" s="52"/>
      <x:c r="Y274" s="61" t="str">
        <x:f>IF(A274="","",IF(COUNTIF($A$6:$A$605,A274)&gt;1,"DUPLICADO","OK"))</x:f>
      </x:c>
      <x:c r="Z274" s="61" t="str">
        <x:f>IF(A274="","",IF(C274="","FALTA TÍTULO",IF(E274="","FALTA ÁREA",IF(W274&lt;&gt;"Sí","PENDIENTE","LISTO"))))</x:f>
      </x:c>
    </x:row>
    <x:row r="275">
      <x:c r="A275" s="40"/>
      <x:c r="B275" s="40"/>
      <x:c r="C275" s="37"/>
      <x:c r="D275" s="37"/>
      <x:c r="E275" s="37"/>
      <x:c r="F275" s="43"/>
      <x:c r="G275" s="43"/>
      <x:c r="H275" s="43"/>
      <x:c r="I275" s="55" t="str">
        <x:f>IF(OR(F275="",G275="",H275=""),"",F275&amp;" "&amp;UPPER(G275)&amp;"."&amp;LOWER(H275))</x:f>
      </x:c>
      <x:c r="J275" s="37"/>
      <x:c r="K275" s="37"/>
      <x:c r="L275" s="46"/>
      <x:c r="M275" s="43"/>
      <x:c r="N275" s="43"/>
      <x:c r="O275" s="43"/>
      <x:c r="P275" s="58" t="str">
        <x:f>IF(N275="","","Estantería "&amp;N275&amp;IF(O275="",""," - Balda "&amp;N275&amp;O275))</x:f>
      </x:c>
      <x:c r="Q275" s="37"/>
      <x:c r="R275" s="37"/>
      <x:c r="S275" s="49"/>
      <x:c r="T275" s="37"/>
      <x:c r="U275" s="37"/>
      <x:c r="V275" s="37"/>
      <x:c r="W275" s="34"/>
      <x:c r="X275" s="52"/>
      <x:c r="Y275" s="61" t="str">
        <x:f>IF(A275="","",IF(COUNTIF($A$6:$A$605,A275)&gt;1,"DUPLICADO","OK"))</x:f>
      </x:c>
      <x:c r="Z275" s="61" t="str">
        <x:f>IF(A275="","",IF(C275="","FALTA TÍTULO",IF(E275="","FALTA ÁREA",IF(W275&lt;&gt;"Sí","PENDIENTE","LISTO"))))</x:f>
      </x:c>
    </x:row>
    <x:row r="276">
      <x:c r="A276" s="40"/>
      <x:c r="B276" s="40"/>
      <x:c r="C276" s="37"/>
      <x:c r="D276" s="37"/>
      <x:c r="E276" s="37"/>
      <x:c r="F276" s="43"/>
      <x:c r="G276" s="43"/>
      <x:c r="H276" s="43"/>
      <x:c r="I276" s="55" t="str">
        <x:f>IF(OR(F276="",G276="",H276=""),"",F276&amp;" "&amp;UPPER(G276)&amp;"."&amp;LOWER(H276))</x:f>
      </x:c>
      <x:c r="J276" s="37"/>
      <x:c r="K276" s="37"/>
      <x:c r="L276" s="46"/>
      <x:c r="M276" s="43"/>
      <x:c r="N276" s="43"/>
      <x:c r="O276" s="43"/>
      <x:c r="P276" s="58" t="str">
        <x:f>IF(N276="","","Estantería "&amp;N276&amp;IF(O276="",""," - Balda "&amp;N276&amp;O276))</x:f>
      </x:c>
      <x:c r="Q276" s="37"/>
      <x:c r="R276" s="37"/>
      <x:c r="S276" s="49"/>
      <x:c r="T276" s="37"/>
      <x:c r="U276" s="37"/>
      <x:c r="V276" s="37"/>
      <x:c r="W276" s="34"/>
      <x:c r="X276" s="52"/>
      <x:c r="Y276" s="61" t="str">
        <x:f>IF(A276="","",IF(COUNTIF($A$6:$A$605,A276)&gt;1,"DUPLICADO","OK"))</x:f>
      </x:c>
      <x:c r="Z276" s="61" t="str">
        <x:f>IF(A276="","",IF(C276="","FALTA TÍTULO",IF(E276="","FALTA ÁREA",IF(W276&lt;&gt;"Sí","PENDIENTE","LISTO"))))</x:f>
      </x:c>
    </x:row>
    <x:row r="277">
      <x:c r="A277" s="40"/>
      <x:c r="B277" s="40"/>
      <x:c r="C277" s="37"/>
      <x:c r="D277" s="37"/>
      <x:c r="E277" s="37"/>
      <x:c r="F277" s="43"/>
      <x:c r="G277" s="43"/>
      <x:c r="H277" s="43"/>
      <x:c r="I277" s="55" t="str">
        <x:f>IF(OR(F277="",G277="",H277=""),"",F277&amp;" "&amp;UPPER(G277)&amp;"."&amp;LOWER(H277))</x:f>
      </x:c>
      <x:c r="J277" s="37"/>
      <x:c r="K277" s="37"/>
      <x:c r="L277" s="46"/>
      <x:c r="M277" s="43"/>
      <x:c r="N277" s="43"/>
      <x:c r="O277" s="43"/>
      <x:c r="P277" s="58" t="str">
        <x:f>IF(N277="","","Estantería "&amp;N277&amp;IF(O277="",""," - Balda "&amp;N277&amp;O277))</x:f>
      </x:c>
      <x:c r="Q277" s="37"/>
      <x:c r="R277" s="37"/>
      <x:c r="S277" s="49"/>
      <x:c r="T277" s="37"/>
      <x:c r="U277" s="37"/>
      <x:c r="V277" s="37"/>
      <x:c r="W277" s="34"/>
      <x:c r="X277" s="52"/>
      <x:c r="Y277" s="61" t="str">
        <x:f>IF(A277="","",IF(COUNTIF($A$6:$A$605,A277)&gt;1,"DUPLICADO","OK"))</x:f>
      </x:c>
      <x:c r="Z277" s="61" t="str">
        <x:f>IF(A277="","",IF(C277="","FALTA TÍTULO",IF(E277="","FALTA ÁREA",IF(W277&lt;&gt;"Sí","PENDIENTE","LISTO"))))</x:f>
      </x:c>
    </x:row>
    <x:row r="278">
      <x:c r="A278" s="40"/>
      <x:c r="B278" s="40"/>
      <x:c r="C278" s="37"/>
      <x:c r="D278" s="37"/>
      <x:c r="E278" s="37"/>
      <x:c r="F278" s="43"/>
      <x:c r="G278" s="43"/>
      <x:c r="H278" s="43"/>
      <x:c r="I278" s="55" t="str">
        <x:f>IF(OR(F278="",G278="",H278=""),"",F278&amp;" "&amp;UPPER(G278)&amp;"."&amp;LOWER(H278))</x:f>
      </x:c>
      <x:c r="J278" s="37"/>
      <x:c r="K278" s="37"/>
      <x:c r="L278" s="46"/>
      <x:c r="M278" s="43"/>
      <x:c r="N278" s="43"/>
      <x:c r="O278" s="43"/>
      <x:c r="P278" s="58" t="str">
        <x:f>IF(N278="","","Estantería "&amp;N278&amp;IF(O278="",""," - Balda "&amp;N278&amp;O278))</x:f>
      </x:c>
      <x:c r="Q278" s="37"/>
      <x:c r="R278" s="37"/>
      <x:c r="S278" s="49"/>
      <x:c r="T278" s="37"/>
      <x:c r="U278" s="37"/>
      <x:c r="V278" s="37"/>
      <x:c r="W278" s="34"/>
      <x:c r="X278" s="52"/>
      <x:c r="Y278" s="61" t="str">
        <x:f>IF(A278="","",IF(COUNTIF($A$6:$A$605,A278)&gt;1,"DUPLICADO","OK"))</x:f>
      </x:c>
      <x:c r="Z278" s="61" t="str">
        <x:f>IF(A278="","",IF(C278="","FALTA TÍTULO",IF(E278="","FALTA ÁREA",IF(W278&lt;&gt;"Sí","PENDIENTE","LISTO"))))</x:f>
      </x:c>
    </x:row>
    <x:row r="279">
      <x:c r="A279" s="40"/>
      <x:c r="B279" s="40"/>
      <x:c r="C279" s="37"/>
      <x:c r="D279" s="37"/>
      <x:c r="E279" s="37"/>
      <x:c r="F279" s="43"/>
      <x:c r="G279" s="43"/>
      <x:c r="H279" s="43"/>
      <x:c r="I279" s="55" t="str">
        <x:f>IF(OR(F279="",G279="",H279=""),"",F279&amp;" "&amp;UPPER(G279)&amp;"."&amp;LOWER(H279))</x:f>
      </x:c>
      <x:c r="J279" s="37"/>
      <x:c r="K279" s="37"/>
      <x:c r="L279" s="46"/>
      <x:c r="M279" s="43"/>
      <x:c r="N279" s="43"/>
      <x:c r="O279" s="43"/>
      <x:c r="P279" s="58" t="str">
        <x:f>IF(N279="","","Estantería "&amp;N279&amp;IF(O279="",""," - Balda "&amp;N279&amp;O279))</x:f>
      </x:c>
      <x:c r="Q279" s="37"/>
      <x:c r="R279" s="37"/>
      <x:c r="S279" s="49"/>
      <x:c r="T279" s="37"/>
      <x:c r="U279" s="37"/>
      <x:c r="V279" s="37"/>
      <x:c r="W279" s="34"/>
      <x:c r="X279" s="52"/>
      <x:c r="Y279" s="61" t="str">
        <x:f>IF(A279="","",IF(COUNTIF($A$6:$A$605,A279)&gt;1,"DUPLICADO","OK"))</x:f>
      </x:c>
      <x:c r="Z279" s="61" t="str">
        <x:f>IF(A279="","",IF(C279="","FALTA TÍTULO",IF(E279="","FALTA ÁREA",IF(W279&lt;&gt;"Sí","PENDIENTE","LISTO"))))</x:f>
      </x:c>
    </x:row>
    <x:row r="280">
      <x:c r="A280" s="40"/>
      <x:c r="B280" s="40"/>
      <x:c r="C280" s="37"/>
      <x:c r="D280" s="37"/>
      <x:c r="E280" s="37"/>
      <x:c r="F280" s="43"/>
      <x:c r="G280" s="43"/>
      <x:c r="H280" s="43"/>
      <x:c r="I280" s="55" t="str">
        <x:f>IF(OR(F280="",G280="",H280=""),"",F280&amp;" "&amp;UPPER(G280)&amp;"."&amp;LOWER(H280))</x:f>
      </x:c>
      <x:c r="J280" s="37"/>
      <x:c r="K280" s="37"/>
      <x:c r="L280" s="46"/>
      <x:c r="M280" s="43"/>
      <x:c r="N280" s="43"/>
      <x:c r="O280" s="43"/>
      <x:c r="P280" s="58" t="str">
        <x:f>IF(N280="","","Estantería "&amp;N280&amp;IF(O280="",""," - Balda "&amp;N280&amp;O280))</x:f>
      </x:c>
      <x:c r="Q280" s="37"/>
      <x:c r="R280" s="37"/>
      <x:c r="S280" s="49"/>
      <x:c r="T280" s="37"/>
      <x:c r="U280" s="37"/>
      <x:c r="V280" s="37"/>
      <x:c r="W280" s="34"/>
      <x:c r="X280" s="52"/>
      <x:c r="Y280" s="61" t="str">
        <x:f>IF(A280="","",IF(COUNTIF($A$6:$A$605,A280)&gt;1,"DUPLICADO","OK"))</x:f>
      </x:c>
      <x:c r="Z280" s="61" t="str">
        <x:f>IF(A280="","",IF(C280="","FALTA TÍTULO",IF(E280="","FALTA ÁREA",IF(W280&lt;&gt;"Sí","PENDIENTE","LISTO"))))</x:f>
      </x:c>
    </x:row>
    <x:row r="281">
      <x:c r="A281" s="40"/>
      <x:c r="B281" s="40"/>
      <x:c r="C281" s="37"/>
      <x:c r="D281" s="37"/>
      <x:c r="E281" s="37"/>
      <x:c r="F281" s="43"/>
      <x:c r="G281" s="43"/>
      <x:c r="H281" s="43"/>
      <x:c r="I281" s="55" t="str">
        <x:f>IF(OR(F281="",G281="",H281=""),"",F281&amp;" "&amp;UPPER(G281)&amp;"."&amp;LOWER(H281))</x:f>
      </x:c>
      <x:c r="J281" s="37"/>
      <x:c r="K281" s="37"/>
      <x:c r="L281" s="46"/>
      <x:c r="M281" s="43"/>
      <x:c r="N281" s="43"/>
      <x:c r="O281" s="43"/>
      <x:c r="P281" s="58" t="str">
        <x:f>IF(N281="","","Estantería "&amp;N281&amp;IF(O281="",""," - Balda "&amp;N281&amp;O281))</x:f>
      </x:c>
      <x:c r="Q281" s="37"/>
      <x:c r="R281" s="37"/>
      <x:c r="S281" s="49"/>
      <x:c r="T281" s="37"/>
      <x:c r="U281" s="37"/>
      <x:c r="V281" s="37"/>
      <x:c r="W281" s="34"/>
      <x:c r="X281" s="52"/>
      <x:c r="Y281" s="61" t="str">
        <x:f>IF(A281="","",IF(COUNTIF($A$6:$A$605,A281)&gt;1,"DUPLICADO","OK"))</x:f>
      </x:c>
      <x:c r="Z281" s="61" t="str">
        <x:f>IF(A281="","",IF(C281="","FALTA TÍTULO",IF(E281="","FALTA ÁREA",IF(W281&lt;&gt;"Sí","PENDIENTE","LISTO"))))</x:f>
      </x:c>
    </x:row>
    <x:row r="282">
      <x:c r="A282" s="40"/>
      <x:c r="B282" s="40"/>
      <x:c r="C282" s="37"/>
      <x:c r="D282" s="37"/>
      <x:c r="E282" s="37"/>
      <x:c r="F282" s="43"/>
      <x:c r="G282" s="43"/>
      <x:c r="H282" s="43"/>
      <x:c r="I282" s="55" t="str">
        <x:f>IF(OR(F282="",G282="",H282=""),"",F282&amp;" "&amp;UPPER(G282)&amp;"."&amp;LOWER(H282))</x:f>
      </x:c>
      <x:c r="J282" s="37"/>
      <x:c r="K282" s="37"/>
      <x:c r="L282" s="46"/>
      <x:c r="M282" s="43"/>
      <x:c r="N282" s="43"/>
      <x:c r="O282" s="43"/>
      <x:c r="P282" s="58" t="str">
        <x:f>IF(N282="","","Estantería "&amp;N282&amp;IF(O282="",""," - Balda "&amp;N282&amp;O282))</x:f>
      </x:c>
      <x:c r="Q282" s="37"/>
      <x:c r="R282" s="37"/>
      <x:c r="S282" s="49"/>
      <x:c r="T282" s="37"/>
      <x:c r="U282" s="37"/>
      <x:c r="V282" s="37"/>
      <x:c r="W282" s="34"/>
      <x:c r="X282" s="52"/>
      <x:c r="Y282" s="61" t="str">
        <x:f>IF(A282="","",IF(COUNTIF($A$6:$A$605,A282)&gt;1,"DUPLICADO","OK"))</x:f>
      </x:c>
      <x:c r="Z282" s="61" t="str">
        <x:f>IF(A282="","",IF(C282="","FALTA TÍTULO",IF(E282="","FALTA ÁREA",IF(W282&lt;&gt;"Sí","PENDIENTE","LISTO"))))</x:f>
      </x:c>
    </x:row>
    <x:row r="283">
      <x:c r="A283" s="40"/>
      <x:c r="B283" s="40"/>
      <x:c r="C283" s="37"/>
      <x:c r="D283" s="37"/>
      <x:c r="E283" s="37"/>
      <x:c r="F283" s="43"/>
      <x:c r="G283" s="43"/>
      <x:c r="H283" s="43"/>
      <x:c r="I283" s="55" t="str">
        <x:f>IF(OR(F283="",G283="",H283=""),"",F283&amp;" "&amp;UPPER(G283)&amp;"."&amp;LOWER(H283))</x:f>
      </x:c>
      <x:c r="J283" s="37"/>
      <x:c r="K283" s="37"/>
      <x:c r="L283" s="46"/>
      <x:c r="M283" s="43"/>
      <x:c r="N283" s="43"/>
      <x:c r="O283" s="43"/>
      <x:c r="P283" s="58" t="str">
        <x:f>IF(N283="","","Estantería "&amp;N283&amp;IF(O283="",""," - Balda "&amp;N283&amp;O283))</x:f>
      </x:c>
      <x:c r="Q283" s="37"/>
      <x:c r="R283" s="37"/>
      <x:c r="S283" s="49"/>
      <x:c r="T283" s="37"/>
      <x:c r="U283" s="37"/>
      <x:c r="V283" s="37"/>
      <x:c r="W283" s="34"/>
      <x:c r="X283" s="52"/>
      <x:c r="Y283" s="61" t="str">
        <x:f>IF(A283="","",IF(COUNTIF($A$6:$A$605,A283)&gt;1,"DUPLICADO","OK"))</x:f>
      </x:c>
      <x:c r="Z283" s="61" t="str">
        <x:f>IF(A283="","",IF(C283="","FALTA TÍTULO",IF(E283="","FALTA ÁREA",IF(W283&lt;&gt;"Sí","PENDIENTE","LISTO"))))</x:f>
      </x:c>
    </x:row>
    <x:row r="284">
      <x:c r="A284" s="40"/>
      <x:c r="B284" s="40"/>
      <x:c r="C284" s="37"/>
      <x:c r="D284" s="37"/>
      <x:c r="E284" s="37"/>
      <x:c r="F284" s="43"/>
      <x:c r="G284" s="43"/>
      <x:c r="H284" s="43"/>
      <x:c r="I284" s="55" t="str">
        <x:f>IF(OR(F284="",G284="",H284=""),"",F284&amp;" "&amp;UPPER(G284)&amp;"."&amp;LOWER(H284))</x:f>
      </x:c>
      <x:c r="J284" s="37"/>
      <x:c r="K284" s="37"/>
      <x:c r="L284" s="46"/>
      <x:c r="M284" s="43"/>
      <x:c r="N284" s="43"/>
      <x:c r="O284" s="43"/>
      <x:c r="P284" s="58" t="str">
        <x:f>IF(N284="","","Estantería "&amp;N284&amp;IF(O284="",""," - Balda "&amp;N284&amp;O284))</x:f>
      </x:c>
      <x:c r="Q284" s="37"/>
      <x:c r="R284" s="37"/>
      <x:c r="S284" s="49"/>
      <x:c r="T284" s="37"/>
      <x:c r="U284" s="37"/>
      <x:c r="V284" s="37"/>
      <x:c r="W284" s="34"/>
      <x:c r="X284" s="52"/>
      <x:c r="Y284" s="61" t="str">
        <x:f>IF(A284="","",IF(COUNTIF($A$6:$A$605,A284)&gt;1,"DUPLICADO","OK"))</x:f>
      </x:c>
      <x:c r="Z284" s="61" t="str">
        <x:f>IF(A284="","",IF(C284="","FALTA TÍTULO",IF(E284="","FALTA ÁREA",IF(W284&lt;&gt;"Sí","PENDIENTE","LISTO"))))</x:f>
      </x:c>
    </x:row>
    <x:row r="285">
      <x:c r="A285" s="40"/>
      <x:c r="B285" s="40"/>
      <x:c r="C285" s="37"/>
      <x:c r="D285" s="37"/>
      <x:c r="E285" s="37"/>
      <x:c r="F285" s="43"/>
      <x:c r="G285" s="43"/>
      <x:c r="H285" s="43"/>
      <x:c r="I285" s="55" t="str">
        <x:f>IF(OR(F285="",G285="",H285=""),"",F285&amp;" "&amp;UPPER(G285)&amp;"."&amp;LOWER(H285))</x:f>
      </x:c>
      <x:c r="J285" s="37"/>
      <x:c r="K285" s="37"/>
      <x:c r="L285" s="46"/>
      <x:c r="M285" s="43"/>
      <x:c r="N285" s="43"/>
      <x:c r="O285" s="43"/>
      <x:c r="P285" s="58" t="str">
        <x:f>IF(N285="","","Estantería "&amp;N285&amp;IF(O285="",""," - Balda "&amp;N285&amp;O285))</x:f>
      </x:c>
      <x:c r="Q285" s="37"/>
      <x:c r="R285" s="37"/>
      <x:c r="S285" s="49"/>
      <x:c r="T285" s="37"/>
      <x:c r="U285" s="37"/>
      <x:c r="V285" s="37"/>
      <x:c r="W285" s="34"/>
      <x:c r="X285" s="52"/>
      <x:c r="Y285" s="61" t="str">
        <x:f>IF(A285="","",IF(COUNTIF($A$6:$A$605,A285)&gt;1,"DUPLICADO","OK"))</x:f>
      </x:c>
      <x:c r="Z285" s="61" t="str">
        <x:f>IF(A285="","",IF(C285="","FALTA TÍTULO",IF(E285="","FALTA ÁREA",IF(W285&lt;&gt;"Sí","PENDIENTE","LISTO"))))</x:f>
      </x:c>
    </x:row>
    <x:row r="286">
      <x:c r="A286" s="40"/>
      <x:c r="B286" s="40"/>
      <x:c r="C286" s="37"/>
      <x:c r="D286" s="37"/>
      <x:c r="E286" s="37"/>
      <x:c r="F286" s="43"/>
      <x:c r="G286" s="43"/>
      <x:c r="H286" s="43"/>
      <x:c r="I286" s="55" t="str">
        <x:f>IF(OR(F286="",G286="",H286=""),"",F286&amp;" "&amp;UPPER(G286)&amp;"."&amp;LOWER(H286))</x:f>
      </x:c>
      <x:c r="J286" s="37"/>
      <x:c r="K286" s="37"/>
      <x:c r="L286" s="46"/>
      <x:c r="M286" s="43"/>
      <x:c r="N286" s="43"/>
      <x:c r="O286" s="43"/>
      <x:c r="P286" s="58" t="str">
        <x:f>IF(N286="","","Estantería "&amp;N286&amp;IF(O286="",""," - Balda "&amp;N286&amp;O286))</x:f>
      </x:c>
      <x:c r="Q286" s="37"/>
      <x:c r="R286" s="37"/>
      <x:c r="S286" s="49"/>
      <x:c r="T286" s="37"/>
      <x:c r="U286" s="37"/>
      <x:c r="V286" s="37"/>
      <x:c r="W286" s="34"/>
      <x:c r="X286" s="52"/>
      <x:c r="Y286" s="61" t="str">
        <x:f>IF(A286="","",IF(COUNTIF($A$6:$A$605,A286)&gt;1,"DUPLICADO","OK"))</x:f>
      </x:c>
      <x:c r="Z286" s="61" t="str">
        <x:f>IF(A286="","",IF(C286="","FALTA TÍTULO",IF(E286="","FALTA ÁREA",IF(W286&lt;&gt;"Sí","PENDIENTE","LISTO"))))</x:f>
      </x:c>
    </x:row>
    <x:row r="287">
      <x:c r="A287" s="40"/>
      <x:c r="B287" s="40"/>
      <x:c r="C287" s="37"/>
      <x:c r="D287" s="37"/>
      <x:c r="E287" s="37"/>
      <x:c r="F287" s="43"/>
      <x:c r="G287" s="43"/>
      <x:c r="H287" s="43"/>
      <x:c r="I287" s="55" t="str">
        <x:f>IF(OR(F287="",G287="",H287=""),"",F287&amp;" "&amp;UPPER(G287)&amp;"."&amp;LOWER(H287))</x:f>
      </x:c>
      <x:c r="J287" s="37"/>
      <x:c r="K287" s="37"/>
      <x:c r="L287" s="46"/>
      <x:c r="M287" s="43"/>
      <x:c r="N287" s="43"/>
      <x:c r="O287" s="43"/>
      <x:c r="P287" s="58" t="str">
        <x:f>IF(N287="","","Estantería "&amp;N287&amp;IF(O287="",""," - Balda "&amp;N287&amp;O287))</x:f>
      </x:c>
      <x:c r="Q287" s="37"/>
      <x:c r="R287" s="37"/>
      <x:c r="S287" s="49"/>
      <x:c r="T287" s="37"/>
      <x:c r="U287" s="37"/>
      <x:c r="V287" s="37"/>
      <x:c r="W287" s="34"/>
      <x:c r="X287" s="52"/>
      <x:c r="Y287" s="61" t="str">
        <x:f>IF(A287="","",IF(COUNTIF($A$6:$A$605,A287)&gt;1,"DUPLICADO","OK"))</x:f>
      </x:c>
      <x:c r="Z287" s="61" t="str">
        <x:f>IF(A287="","",IF(C287="","FALTA TÍTULO",IF(E287="","FALTA ÁREA",IF(W287&lt;&gt;"Sí","PENDIENTE","LISTO"))))</x:f>
      </x:c>
    </x:row>
    <x:row r="288">
      <x:c r="A288" s="40"/>
      <x:c r="B288" s="40"/>
      <x:c r="C288" s="37"/>
      <x:c r="D288" s="37"/>
      <x:c r="E288" s="37"/>
      <x:c r="F288" s="43"/>
      <x:c r="G288" s="43"/>
      <x:c r="H288" s="43"/>
      <x:c r="I288" s="55" t="str">
        <x:f>IF(OR(F288="",G288="",H288=""),"",F288&amp;" "&amp;UPPER(G288)&amp;"."&amp;LOWER(H288))</x:f>
      </x:c>
      <x:c r="J288" s="37"/>
      <x:c r="K288" s="37"/>
      <x:c r="L288" s="46"/>
      <x:c r="M288" s="43"/>
      <x:c r="N288" s="43"/>
      <x:c r="O288" s="43"/>
      <x:c r="P288" s="58" t="str">
        <x:f>IF(N288="","","Estantería "&amp;N288&amp;IF(O288="",""," - Balda "&amp;N288&amp;O288))</x:f>
      </x:c>
      <x:c r="Q288" s="37"/>
      <x:c r="R288" s="37"/>
      <x:c r="S288" s="49"/>
      <x:c r="T288" s="37"/>
      <x:c r="U288" s="37"/>
      <x:c r="V288" s="37"/>
      <x:c r="W288" s="34"/>
      <x:c r="X288" s="52"/>
      <x:c r="Y288" s="61" t="str">
        <x:f>IF(A288="","",IF(COUNTIF($A$6:$A$605,A288)&gt;1,"DUPLICADO","OK"))</x:f>
      </x:c>
      <x:c r="Z288" s="61" t="str">
        <x:f>IF(A288="","",IF(C288="","FALTA TÍTULO",IF(E288="","FALTA ÁREA",IF(W288&lt;&gt;"Sí","PENDIENTE","LISTO"))))</x:f>
      </x:c>
    </x:row>
    <x:row r="289">
      <x:c r="A289" s="40"/>
      <x:c r="B289" s="40"/>
      <x:c r="C289" s="37"/>
      <x:c r="D289" s="37"/>
      <x:c r="E289" s="37"/>
      <x:c r="F289" s="43"/>
      <x:c r="G289" s="43"/>
      <x:c r="H289" s="43"/>
      <x:c r="I289" s="55" t="str">
        <x:f>IF(OR(F289="",G289="",H289=""),"",F289&amp;" "&amp;UPPER(G289)&amp;"."&amp;LOWER(H289))</x:f>
      </x:c>
      <x:c r="J289" s="37"/>
      <x:c r="K289" s="37"/>
      <x:c r="L289" s="46"/>
      <x:c r="M289" s="43"/>
      <x:c r="N289" s="43"/>
      <x:c r="O289" s="43"/>
      <x:c r="P289" s="58" t="str">
        <x:f>IF(N289="","","Estantería "&amp;N289&amp;IF(O289="",""," - Balda "&amp;N289&amp;O289))</x:f>
      </x:c>
      <x:c r="Q289" s="37"/>
      <x:c r="R289" s="37"/>
      <x:c r="S289" s="49"/>
      <x:c r="T289" s="37"/>
      <x:c r="U289" s="37"/>
      <x:c r="V289" s="37"/>
      <x:c r="W289" s="34"/>
      <x:c r="X289" s="52"/>
      <x:c r="Y289" s="61" t="str">
        <x:f>IF(A289="","",IF(COUNTIF($A$6:$A$605,A289)&gt;1,"DUPLICADO","OK"))</x:f>
      </x:c>
      <x:c r="Z289" s="61" t="str">
        <x:f>IF(A289="","",IF(C289="","FALTA TÍTULO",IF(E289="","FALTA ÁREA",IF(W289&lt;&gt;"Sí","PENDIENTE","LISTO"))))</x:f>
      </x:c>
    </x:row>
    <x:row r="290">
      <x:c r="A290" s="40"/>
      <x:c r="B290" s="40"/>
      <x:c r="C290" s="37"/>
      <x:c r="D290" s="37"/>
      <x:c r="E290" s="37"/>
      <x:c r="F290" s="43"/>
      <x:c r="G290" s="43"/>
      <x:c r="H290" s="43"/>
      <x:c r="I290" s="55" t="str">
        <x:f>IF(OR(F290="",G290="",H290=""),"",F290&amp;" "&amp;UPPER(G290)&amp;"."&amp;LOWER(H290))</x:f>
      </x:c>
      <x:c r="J290" s="37"/>
      <x:c r="K290" s="37"/>
      <x:c r="L290" s="46"/>
      <x:c r="M290" s="43"/>
      <x:c r="N290" s="43"/>
      <x:c r="O290" s="43"/>
      <x:c r="P290" s="58" t="str">
        <x:f>IF(N290="","","Estantería "&amp;N290&amp;IF(O290="",""," - Balda "&amp;N290&amp;O290))</x:f>
      </x:c>
      <x:c r="Q290" s="37"/>
      <x:c r="R290" s="37"/>
      <x:c r="S290" s="49"/>
      <x:c r="T290" s="37"/>
      <x:c r="U290" s="37"/>
      <x:c r="V290" s="37"/>
      <x:c r="W290" s="34"/>
      <x:c r="X290" s="52"/>
      <x:c r="Y290" s="61" t="str">
        <x:f>IF(A290="","",IF(COUNTIF($A$6:$A$605,A290)&gt;1,"DUPLICADO","OK"))</x:f>
      </x:c>
      <x:c r="Z290" s="61" t="str">
        <x:f>IF(A290="","",IF(C290="","FALTA TÍTULO",IF(E290="","FALTA ÁREA",IF(W290&lt;&gt;"Sí","PENDIENTE","LISTO"))))</x:f>
      </x:c>
    </x:row>
    <x:row r="291">
      <x:c r="A291" s="40"/>
      <x:c r="B291" s="40"/>
      <x:c r="C291" s="37"/>
      <x:c r="D291" s="37"/>
      <x:c r="E291" s="37"/>
      <x:c r="F291" s="43"/>
      <x:c r="G291" s="43"/>
      <x:c r="H291" s="43"/>
      <x:c r="I291" s="55" t="str">
        <x:f>IF(OR(F291="",G291="",H291=""),"",F291&amp;" "&amp;UPPER(G291)&amp;"."&amp;LOWER(H291))</x:f>
      </x:c>
      <x:c r="J291" s="37"/>
      <x:c r="K291" s="37"/>
      <x:c r="L291" s="46"/>
      <x:c r="M291" s="43"/>
      <x:c r="N291" s="43"/>
      <x:c r="O291" s="43"/>
      <x:c r="P291" s="58" t="str">
        <x:f>IF(N291="","","Estantería "&amp;N291&amp;IF(O291="",""," - Balda "&amp;N291&amp;O291))</x:f>
      </x:c>
      <x:c r="Q291" s="37"/>
      <x:c r="R291" s="37"/>
      <x:c r="S291" s="49"/>
      <x:c r="T291" s="37"/>
      <x:c r="U291" s="37"/>
      <x:c r="V291" s="37"/>
      <x:c r="W291" s="34"/>
      <x:c r="X291" s="52"/>
      <x:c r="Y291" s="61" t="str">
        <x:f>IF(A291="","",IF(COUNTIF($A$6:$A$605,A291)&gt;1,"DUPLICADO","OK"))</x:f>
      </x:c>
      <x:c r="Z291" s="61" t="str">
        <x:f>IF(A291="","",IF(C291="","FALTA TÍTULO",IF(E291="","FALTA ÁREA",IF(W291&lt;&gt;"Sí","PENDIENTE","LISTO"))))</x:f>
      </x:c>
    </x:row>
    <x:row r="292">
      <x:c r="A292" s="40"/>
      <x:c r="B292" s="40"/>
      <x:c r="C292" s="37"/>
      <x:c r="D292" s="37"/>
      <x:c r="E292" s="37"/>
      <x:c r="F292" s="43"/>
      <x:c r="G292" s="43"/>
      <x:c r="H292" s="43"/>
      <x:c r="I292" s="55" t="str">
        <x:f>IF(OR(F292="",G292="",H292=""),"",F292&amp;" "&amp;UPPER(G292)&amp;"."&amp;LOWER(H292))</x:f>
      </x:c>
      <x:c r="J292" s="37"/>
      <x:c r="K292" s="37"/>
      <x:c r="L292" s="46"/>
      <x:c r="M292" s="43"/>
      <x:c r="N292" s="43"/>
      <x:c r="O292" s="43"/>
      <x:c r="P292" s="58" t="str">
        <x:f>IF(N292="","","Estantería "&amp;N292&amp;IF(O292="",""," - Balda "&amp;N292&amp;O292))</x:f>
      </x:c>
      <x:c r="Q292" s="37"/>
      <x:c r="R292" s="37"/>
      <x:c r="S292" s="49"/>
      <x:c r="T292" s="37"/>
      <x:c r="U292" s="37"/>
      <x:c r="V292" s="37"/>
      <x:c r="W292" s="34"/>
      <x:c r="X292" s="52"/>
      <x:c r="Y292" s="61" t="str">
        <x:f>IF(A292="","",IF(COUNTIF($A$6:$A$605,A292)&gt;1,"DUPLICADO","OK"))</x:f>
      </x:c>
      <x:c r="Z292" s="61" t="str">
        <x:f>IF(A292="","",IF(C292="","FALTA TÍTULO",IF(E292="","FALTA ÁREA",IF(W292&lt;&gt;"Sí","PENDIENTE","LISTO"))))</x:f>
      </x:c>
    </x:row>
    <x:row r="293">
      <x:c r="A293" s="40"/>
      <x:c r="B293" s="40"/>
      <x:c r="C293" s="37"/>
      <x:c r="D293" s="37"/>
      <x:c r="E293" s="37"/>
      <x:c r="F293" s="43"/>
      <x:c r="G293" s="43"/>
      <x:c r="H293" s="43"/>
      <x:c r="I293" s="55" t="str">
        <x:f>IF(OR(F293="",G293="",H293=""),"",F293&amp;" "&amp;UPPER(G293)&amp;"."&amp;LOWER(H293))</x:f>
      </x:c>
      <x:c r="J293" s="37"/>
      <x:c r="K293" s="37"/>
      <x:c r="L293" s="46"/>
      <x:c r="M293" s="43"/>
      <x:c r="N293" s="43"/>
      <x:c r="O293" s="43"/>
      <x:c r="P293" s="58" t="str">
        <x:f>IF(N293="","","Estantería "&amp;N293&amp;IF(O293="",""," - Balda "&amp;N293&amp;O293))</x:f>
      </x:c>
      <x:c r="Q293" s="37"/>
      <x:c r="R293" s="37"/>
      <x:c r="S293" s="49"/>
      <x:c r="T293" s="37"/>
      <x:c r="U293" s="37"/>
      <x:c r="V293" s="37"/>
      <x:c r="W293" s="34"/>
      <x:c r="X293" s="52"/>
      <x:c r="Y293" s="61" t="str">
        <x:f>IF(A293="","",IF(COUNTIF($A$6:$A$605,A293)&gt;1,"DUPLICADO","OK"))</x:f>
      </x:c>
      <x:c r="Z293" s="61" t="str">
        <x:f>IF(A293="","",IF(C293="","FALTA TÍTULO",IF(E293="","FALTA ÁREA",IF(W293&lt;&gt;"Sí","PENDIENTE","LISTO"))))</x:f>
      </x:c>
    </x:row>
    <x:row r="294">
      <x:c r="A294" s="40"/>
      <x:c r="B294" s="40"/>
      <x:c r="C294" s="37"/>
      <x:c r="D294" s="37"/>
      <x:c r="E294" s="37"/>
      <x:c r="F294" s="43"/>
      <x:c r="G294" s="43"/>
      <x:c r="H294" s="43"/>
      <x:c r="I294" s="55" t="str">
        <x:f>IF(OR(F294="",G294="",H294=""),"",F294&amp;" "&amp;UPPER(G294)&amp;"."&amp;LOWER(H294))</x:f>
      </x:c>
      <x:c r="J294" s="37"/>
      <x:c r="K294" s="37"/>
      <x:c r="L294" s="46"/>
      <x:c r="M294" s="43"/>
      <x:c r="N294" s="43"/>
      <x:c r="O294" s="43"/>
      <x:c r="P294" s="58" t="str">
        <x:f>IF(N294="","","Estantería "&amp;N294&amp;IF(O294="",""," - Balda "&amp;N294&amp;O294))</x:f>
      </x:c>
      <x:c r="Q294" s="37"/>
      <x:c r="R294" s="37"/>
      <x:c r="S294" s="49"/>
      <x:c r="T294" s="37"/>
      <x:c r="U294" s="37"/>
      <x:c r="V294" s="37"/>
      <x:c r="W294" s="34"/>
      <x:c r="X294" s="52"/>
      <x:c r="Y294" s="61" t="str">
        <x:f>IF(A294="","",IF(COUNTIF($A$6:$A$605,A294)&gt;1,"DUPLICADO","OK"))</x:f>
      </x:c>
      <x:c r="Z294" s="61" t="str">
        <x:f>IF(A294="","",IF(C294="","FALTA TÍTULO",IF(E294="","FALTA ÁREA",IF(W294&lt;&gt;"Sí","PENDIENTE","LISTO"))))</x:f>
      </x:c>
    </x:row>
    <x:row r="295">
      <x:c r="A295" s="40"/>
      <x:c r="B295" s="40"/>
      <x:c r="C295" s="37"/>
      <x:c r="D295" s="37"/>
      <x:c r="E295" s="37"/>
      <x:c r="F295" s="43"/>
      <x:c r="G295" s="43"/>
      <x:c r="H295" s="43"/>
      <x:c r="I295" s="55" t="str">
        <x:f>IF(OR(F295="",G295="",H295=""),"",F295&amp;" "&amp;UPPER(G295)&amp;"."&amp;LOWER(H295))</x:f>
      </x:c>
      <x:c r="J295" s="37"/>
      <x:c r="K295" s="37"/>
      <x:c r="L295" s="46"/>
      <x:c r="M295" s="43"/>
      <x:c r="N295" s="43"/>
      <x:c r="O295" s="43"/>
      <x:c r="P295" s="58" t="str">
        <x:f>IF(N295="","","Estantería "&amp;N295&amp;IF(O295="",""," - Balda "&amp;N295&amp;O295))</x:f>
      </x:c>
      <x:c r="Q295" s="37"/>
      <x:c r="R295" s="37"/>
      <x:c r="S295" s="49"/>
      <x:c r="T295" s="37"/>
      <x:c r="U295" s="37"/>
      <x:c r="V295" s="37"/>
      <x:c r="W295" s="34"/>
      <x:c r="X295" s="52"/>
      <x:c r="Y295" s="61" t="str">
        <x:f>IF(A295="","",IF(COUNTIF($A$6:$A$605,A295)&gt;1,"DUPLICADO","OK"))</x:f>
      </x:c>
      <x:c r="Z295" s="61" t="str">
        <x:f>IF(A295="","",IF(C295="","FALTA TÍTULO",IF(E295="","FALTA ÁREA",IF(W295&lt;&gt;"Sí","PENDIENTE","LISTO"))))</x:f>
      </x:c>
    </x:row>
    <x:row r="296">
      <x:c r="A296" s="40"/>
      <x:c r="B296" s="40"/>
      <x:c r="C296" s="37"/>
      <x:c r="D296" s="37"/>
      <x:c r="E296" s="37"/>
      <x:c r="F296" s="43"/>
      <x:c r="G296" s="43"/>
      <x:c r="H296" s="43"/>
      <x:c r="I296" s="55" t="str">
        <x:f>IF(OR(F296="",G296="",H296=""),"",F296&amp;" "&amp;UPPER(G296)&amp;"."&amp;LOWER(H296))</x:f>
      </x:c>
      <x:c r="J296" s="37"/>
      <x:c r="K296" s="37"/>
      <x:c r="L296" s="46"/>
      <x:c r="M296" s="43"/>
      <x:c r="N296" s="43"/>
      <x:c r="O296" s="43"/>
      <x:c r="P296" s="58" t="str">
        <x:f>IF(N296="","","Estantería "&amp;N296&amp;IF(O296="",""," - Balda "&amp;N296&amp;O296))</x:f>
      </x:c>
      <x:c r="Q296" s="37"/>
      <x:c r="R296" s="37"/>
      <x:c r="S296" s="49"/>
      <x:c r="T296" s="37"/>
      <x:c r="U296" s="37"/>
      <x:c r="V296" s="37"/>
      <x:c r="W296" s="34"/>
      <x:c r="X296" s="52"/>
      <x:c r="Y296" s="61" t="str">
        <x:f>IF(A296="","",IF(COUNTIF($A$6:$A$605,A296)&gt;1,"DUPLICADO","OK"))</x:f>
      </x:c>
      <x:c r="Z296" s="61" t="str">
        <x:f>IF(A296="","",IF(C296="","FALTA TÍTULO",IF(E296="","FALTA ÁREA",IF(W296&lt;&gt;"Sí","PENDIENTE","LISTO"))))</x:f>
      </x:c>
    </x:row>
    <x:row r="297">
      <x:c r="A297" s="40"/>
      <x:c r="B297" s="40"/>
      <x:c r="C297" s="37"/>
      <x:c r="D297" s="37"/>
      <x:c r="E297" s="37"/>
      <x:c r="F297" s="43"/>
      <x:c r="G297" s="43"/>
      <x:c r="H297" s="43"/>
      <x:c r="I297" s="55" t="str">
        <x:f>IF(OR(F297="",G297="",H297=""),"",F297&amp;" "&amp;UPPER(G297)&amp;"."&amp;LOWER(H297))</x:f>
      </x:c>
      <x:c r="J297" s="37"/>
      <x:c r="K297" s="37"/>
      <x:c r="L297" s="46"/>
      <x:c r="M297" s="43"/>
      <x:c r="N297" s="43"/>
      <x:c r="O297" s="43"/>
      <x:c r="P297" s="58" t="str">
        <x:f>IF(N297="","","Estantería "&amp;N297&amp;IF(O297="",""," - Balda "&amp;N297&amp;O297))</x:f>
      </x:c>
      <x:c r="Q297" s="37"/>
      <x:c r="R297" s="37"/>
      <x:c r="S297" s="49"/>
      <x:c r="T297" s="37"/>
      <x:c r="U297" s="37"/>
      <x:c r="V297" s="37"/>
      <x:c r="W297" s="34"/>
      <x:c r="X297" s="52"/>
      <x:c r="Y297" s="61" t="str">
        <x:f>IF(A297="","",IF(COUNTIF($A$6:$A$605,A297)&gt;1,"DUPLICADO","OK"))</x:f>
      </x:c>
      <x:c r="Z297" s="61" t="str">
        <x:f>IF(A297="","",IF(C297="","FALTA TÍTULO",IF(E297="","FALTA ÁREA",IF(W297&lt;&gt;"Sí","PENDIENTE","LISTO"))))</x:f>
      </x:c>
    </x:row>
    <x:row r="298">
      <x:c r="A298" s="40"/>
      <x:c r="B298" s="40"/>
      <x:c r="C298" s="37"/>
      <x:c r="D298" s="37"/>
      <x:c r="E298" s="37"/>
      <x:c r="F298" s="43"/>
      <x:c r="G298" s="43"/>
      <x:c r="H298" s="43"/>
      <x:c r="I298" s="55" t="str">
        <x:f>IF(OR(F298="",G298="",H298=""),"",F298&amp;" "&amp;UPPER(G298)&amp;"."&amp;LOWER(H298))</x:f>
      </x:c>
      <x:c r="J298" s="37"/>
      <x:c r="K298" s="37"/>
      <x:c r="L298" s="46"/>
      <x:c r="M298" s="43"/>
      <x:c r="N298" s="43"/>
      <x:c r="O298" s="43"/>
      <x:c r="P298" s="58" t="str">
        <x:f>IF(N298="","","Estantería "&amp;N298&amp;IF(O298="",""," - Balda "&amp;N298&amp;O298))</x:f>
      </x:c>
      <x:c r="Q298" s="37"/>
      <x:c r="R298" s="37"/>
      <x:c r="S298" s="49"/>
      <x:c r="T298" s="37"/>
      <x:c r="U298" s="37"/>
      <x:c r="V298" s="37"/>
      <x:c r="W298" s="34"/>
      <x:c r="X298" s="52"/>
      <x:c r="Y298" s="61" t="str">
        <x:f>IF(A298="","",IF(COUNTIF($A$6:$A$605,A298)&gt;1,"DUPLICADO","OK"))</x:f>
      </x:c>
      <x:c r="Z298" s="61" t="str">
        <x:f>IF(A298="","",IF(C298="","FALTA TÍTULO",IF(E298="","FALTA ÁREA",IF(W298&lt;&gt;"Sí","PENDIENTE","LISTO"))))</x:f>
      </x:c>
    </x:row>
    <x:row r="299">
      <x:c r="A299" s="40"/>
      <x:c r="B299" s="40"/>
      <x:c r="C299" s="37"/>
      <x:c r="D299" s="37"/>
      <x:c r="E299" s="37"/>
      <x:c r="F299" s="43"/>
      <x:c r="G299" s="43"/>
      <x:c r="H299" s="43"/>
      <x:c r="I299" s="55" t="str">
        <x:f>IF(OR(F299="",G299="",H299=""),"",F299&amp;" "&amp;UPPER(G299)&amp;"."&amp;LOWER(H299))</x:f>
      </x:c>
      <x:c r="J299" s="37"/>
      <x:c r="K299" s="37"/>
      <x:c r="L299" s="46"/>
      <x:c r="M299" s="43"/>
      <x:c r="N299" s="43"/>
      <x:c r="O299" s="43"/>
      <x:c r="P299" s="58" t="str">
        <x:f>IF(N299="","","Estantería "&amp;N299&amp;IF(O299="",""," - Balda "&amp;N299&amp;O299))</x:f>
      </x:c>
      <x:c r="Q299" s="37"/>
      <x:c r="R299" s="37"/>
      <x:c r="S299" s="49"/>
      <x:c r="T299" s="37"/>
      <x:c r="U299" s="37"/>
      <x:c r="V299" s="37"/>
      <x:c r="W299" s="34"/>
      <x:c r="X299" s="52"/>
      <x:c r="Y299" s="61" t="str">
        <x:f>IF(A299="","",IF(COUNTIF($A$6:$A$605,A299)&gt;1,"DUPLICADO","OK"))</x:f>
      </x:c>
      <x:c r="Z299" s="61" t="str">
        <x:f>IF(A299="","",IF(C299="","FALTA TÍTULO",IF(E299="","FALTA ÁREA",IF(W299&lt;&gt;"Sí","PENDIENTE","LISTO"))))</x:f>
      </x:c>
    </x:row>
    <x:row r="300">
      <x:c r="A300" s="40"/>
      <x:c r="B300" s="40"/>
      <x:c r="C300" s="37"/>
      <x:c r="D300" s="37"/>
      <x:c r="E300" s="37"/>
      <x:c r="F300" s="43"/>
      <x:c r="G300" s="43"/>
      <x:c r="H300" s="43"/>
      <x:c r="I300" s="55" t="str">
        <x:f>IF(OR(F300="",G300="",H300=""),"",F300&amp;" "&amp;UPPER(G300)&amp;"."&amp;LOWER(H300))</x:f>
      </x:c>
      <x:c r="J300" s="37"/>
      <x:c r="K300" s="37"/>
      <x:c r="L300" s="46"/>
      <x:c r="M300" s="43"/>
      <x:c r="N300" s="43"/>
      <x:c r="O300" s="43"/>
      <x:c r="P300" s="58" t="str">
        <x:f>IF(N300="","","Estantería "&amp;N300&amp;IF(O300="",""," - Balda "&amp;N300&amp;O300))</x:f>
      </x:c>
      <x:c r="Q300" s="37"/>
      <x:c r="R300" s="37"/>
      <x:c r="S300" s="49"/>
      <x:c r="T300" s="37"/>
      <x:c r="U300" s="37"/>
      <x:c r="V300" s="37"/>
      <x:c r="W300" s="34"/>
      <x:c r="X300" s="52"/>
      <x:c r="Y300" s="61" t="str">
        <x:f>IF(A300="","",IF(COUNTIF($A$6:$A$605,A300)&gt;1,"DUPLICADO","OK"))</x:f>
      </x:c>
      <x:c r="Z300" s="61" t="str">
        <x:f>IF(A300="","",IF(C300="","FALTA TÍTULO",IF(E300="","FALTA ÁREA",IF(W300&lt;&gt;"Sí","PENDIENTE","LISTO"))))</x:f>
      </x:c>
    </x:row>
    <x:row r="301">
      <x:c r="A301" s="40"/>
      <x:c r="B301" s="40"/>
      <x:c r="C301" s="37"/>
      <x:c r="D301" s="37"/>
      <x:c r="E301" s="37"/>
      <x:c r="F301" s="43"/>
      <x:c r="G301" s="43"/>
      <x:c r="H301" s="43"/>
      <x:c r="I301" s="55" t="str">
        <x:f>IF(OR(F301="",G301="",H301=""),"",F301&amp;" "&amp;UPPER(G301)&amp;"."&amp;LOWER(H301))</x:f>
      </x:c>
      <x:c r="J301" s="37"/>
      <x:c r="K301" s="37"/>
      <x:c r="L301" s="46"/>
      <x:c r="M301" s="43"/>
      <x:c r="N301" s="43"/>
      <x:c r="O301" s="43"/>
      <x:c r="P301" s="58" t="str">
        <x:f>IF(N301="","","Estantería "&amp;N301&amp;IF(O301="",""," - Balda "&amp;N301&amp;O301))</x:f>
      </x:c>
      <x:c r="Q301" s="37"/>
      <x:c r="R301" s="37"/>
      <x:c r="S301" s="49"/>
      <x:c r="T301" s="37"/>
      <x:c r="U301" s="37"/>
      <x:c r="V301" s="37"/>
      <x:c r="W301" s="34"/>
      <x:c r="X301" s="52"/>
      <x:c r="Y301" s="61" t="str">
        <x:f>IF(A301="","",IF(COUNTIF($A$6:$A$605,A301)&gt;1,"DUPLICADO","OK"))</x:f>
      </x:c>
      <x:c r="Z301" s="61" t="str">
        <x:f>IF(A301="","",IF(C301="","FALTA TÍTULO",IF(E301="","FALTA ÁREA",IF(W301&lt;&gt;"Sí","PENDIENTE","LISTO"))))</x:f>
      </x:c>
    </x:row>
    <x:row r="302">
      <x:c r="A302" s="40"/>
      <x:c r="B302" s="40"/>
      <x:c r="C302" s="37"/>
      <x:c r="D302" s="37"/>
      <x:c r="E302" s="37"/>
      <x:c r="F302" s="43"/>
      <x:c r="G302" s="43"/>
      <x:c r="H302" s="43"/>
      <x:c r="I302" s="55" t="str">
        <x:f>IF(OR(F302="",G302="",H302=""),"",F302&amp;" "&amp;UPPER(G302)&amp;"."&amp;LOWER(H302))</x:f>
      </x:c>
      <x:c r="J302" s="37"/>
      <x:c r="K302" s="37"/>
      <x:c r="L302" s="46"/>
      <x:c r="M302" s="43"/>
      <x:c r="N302" s="43"/>
      <x:c r="O302" s="43"/>
      <x:c r="P302" s="58" t="str">
        <x:f>IF(N302="","","Estantería "&amp;N302&amp;IF(O302="",""," - Balda "&amp;N302&amp;O302))</x:f>
      </x:c>
      <x:c r="Q302" s="37"/>
      <x:c r="R302" s="37"/>
      <x:c r="S302" s="49"/>
      <x:c r="T302" s="37"/>
      <x:c r="U302" s="37"/>
      <x:c r="V302" s="37"/>
      <x:c r="W302" s="34"/>
      <x:c r="X302" s="52"/>
      <x:c r="Y302" s="61" t="str">
        <x:f>IF(A302="","",IF(COUNTIF($A$6:$A$605,A302)&gt;1,"DUPLICADO","OK"))</x:f>
      </x:c>
      <x:c r="Z302" s="61" t="str">
        <x:f>IF(A302="","",IF(C302="","FALTA TÍTULO",IF(E302="","FALTA ÁREA",IF(W302&lt;&gt;"Sí","PENDIENTE","LISTO"))))</x:f>
      </x:c>
    </x:row>
    <x:row r="303">
      <x:c r="A303" s="40"/>
      <x:c r="B303" s="40"/>
      <x:c r="C303" s="37"/>
      <x:c r="D303" s="37"/>
      <x:c r="E303" s="37"/>
      <x:c r="F303" s="43"/>
      <x:c r="G303" s="43"/>
      <x:c r="H303" s="43"/>
      <x:c r="I303" s="55" t="str">
        <x:f>IF(OR(F303="",G303="",H303=""),"",F303&amp;" "&amp;UPPER(G303)&amp;"."&amp;LOWER(H303))</x:f>
      </x:c>
      <x:c r="J303" s="37"/>
      <x:c r="K303" s="37"/>
      <x:c r="L303" s="46"/>
      <x:c r="M303" s="43"/>
      <x:c r="N303" s="43"/>
      <x:c r="O303" s="43"/>
      <x:c r="P303" s="58" t="str">
        <x:f>IF(N303="","","Estantería "&amp;N303&amp;IF(O303="",""," - Balda "&amp;N303&amp;O303))</x:f>
      </x:c>
      <x:c r="Q303" s="37"/>
      <x:c r="R303" s="37"/>
      <x:c r="S303" s="49"/>
      <x:c r="T303" s="37"/>
      <x:c r="U303" s="37"/>
      <x:c r="V303" s="37"/>
      <x:c r="W303" s="34"/>
      <x:c r="X303" s="52"/>
      <x:c r="Y303" s="61" t="str">
        <x:f>IF(A303="","",IF(COUNTIF($A$6:$A$605,A303)&gt;1,"DUPLICADO","OK"))</x:f>
      </x:c>
      <x:c r="Z303" s="61" t="str">
        <x:f>IF(A303="","",IF(C303="","FALTA TÍTULO",IF(E303="","FALTA ÁREA",IF(W303&lt;&gt;"Sí","PENDIENTE","LISTO"))))</x:f>
      </x:c>
    </x:row>
    <x:row r="304">
      <x:c r="A304" s="40"/>
      <x:c r="B304" s="40"/>
      <x:c r="C304" s="37"/>
      <x:c r="D304" s="37"/>
      <x:c r="E304" s="37"/>
      <x:c r="F304" s="43"/>
      <x:c r="G304" s="43"/>
      <x:c r="H304" s="43"/>
      <x:c r="I304" s="55" t="str">
        <x:f>IF(OR(F304="",G304="",H304=""),"",F304&amp;" "&amp;UPPER(G304)&amp;"."&amp;LOWER(H304))</x:f>
      </x:c>
      <x:c r="J304" s="37"/>
      <x:c r="K304" s="37"/>
      <x:c r="L304" s="46"/>
      <x:c r="M304" s="43"/>
      <x:c r="N304" s="43"/>
      <x:c r="O304" s="43"/>
      <x:c r="P304" s="58" t="str">
        <x:f>IF(N304="","","Estantería "&amp;N304&amp;IF(O304="",""," - Balda "&amp;N304&amp;O304))</x:f>
      </x:c>
      <x:c r="Q304" s="37"/>
      <x:c r="R304" s="37"/>
      <x:c r="S304" s="49"/>
      <x:c r="T304" s="37"/>
      <x:c r="U304" s="37"/>
      <x:c r="V304" s="37"/>
      <x:c r="W304" s="34"/>
      <x:c r="X304" s="52"/>
      <x:c r="Y304" s="61" t="str">
        <x:f>IF(A304="","",IF(COUNTIF($A$6:$A$605,A304)&gt;1,"DUPLICADO","OK"))</x:f>
      </x:c>
      <x:c r="Z304" s="61" t="str">
        <x:f>IF(A304="","",IF(C304="","FALTA TÍTULO",IF(E304="","FALTA ÁREA",IF(W304&lt;&gt;"Sí","PENDIENTE","LISTO"))))</x:f>
      </x:c>
    </x:row>
    <x:row r="305">
      <x:c r="A305" s="40"/>
      <x:c r="B305" s="40"/>
      <x:c r="C305" s="37"/>
      <x:c r="D305" s="37"/>
      <x:c r="E305" s="37"/>
      <x:c r="F305" s="43"/>
      <x:c r="G305" s="43"/>
      <x:c r="H305" s="43"/>
      <x:c r="I305" s="55" t="str">
        <x:f>IF(OR(F305="",G305="",H305=""),"",F305&amp;" "&amp;UPPER(G305)&amp;"."&amp;LOWER(H305))</x:f>
      </x:c>
      <x:c r="J305" s="37"/>
      <x:c r="K305" s="37"/>
      <x:c r="L305" s="46"/>
      <x:c r="M305" s="43"/>
      <x:c r="N305" s="43"/>
      <x:c r="O305" s="43"/>
      <x:c r="P305" s="58" t="str">
        <x:f>IF(N305="","","Estantería "&amp;N305&amp;IF(O305="",""," - Balda "&amp;N305&amp;O305))</x:f>
      </x:c>
      <x:c r="Q305" s="37"/>
      <x:c r="R305" s="37"/>
      <x:c r="S305" s="49"/>
      <x:c r="T305" s="37"/>
      <x:c r="U305" s="37"/>
      <x:c r="V305" s="37"/>
      <x:c r="W305" s="34"/>
      <x:c r="X305" s="52"/>
      <x:c r="Y305" s="61" t="str">
        <x:f>IF(A305="","",IF(COUNTIF($A$6:$A$605,A305)&gt;1,"DUPLICADO","OK"))</x:f>
      </x:c>
      <x:c r="Z305" s="61" t="str">
        <x:f>IF(A305="","",IF(C305="","FALTA TÍTULO",IF(E305="","FALTA ÁREA",IF(W305&lt;&gt;"Sí","PENDIENTE","LISTO"))))</x:f>
      </x:c>
    </x:row>
    <x:row r="306">
      <x:c r="A306" s="40"/>
      <x:c r="B306" s="40"/>
      <x:c r="C306" s="37"/>
      <x:c r="D306" s="37"/>
      <x:c r="E306" s="37"/>
      <x:c r="F306" s="43"/>
      <x:c r="G306" s="43"/>
      <x:c r="H306" s="43"/>
      <x:c r="I306" s="55" t="str">
        <x:f>IF(OR(F306="",G306="",H306=""),"",F306&amp;" "&amp;UPPER(G306)&amp;"."&amp;LOWER(H306))</x:f>
      </x:c>
      <x:c r="J306" s="37"/>
      <x:c r="K306" s="37"/>
      <x:c r="L306" s="46"/>
      <x:c r="M306" s="43"/>
      <x:c r="N306" s="43"/>
      <x:c r="O306" s="43"/>
      <x:c r="P306" s="58" t="str">
        <x:f>IF(N306="","","Estantería "&amp;N306&amp;IF(O306="",""," - Balda "&amp;N306&amp;O306))</x:f>
      </x:c>
      <x:c r="Q306" s="37"/>
      <x:c r="R306" s="37"/>
      <x:c r="S306" s="49"/>
      <x:c r="T306" s="37"/>
      <x:c r="U306" s="37"/>
      <x:c r="V306" s="37"/>
      <x:c r="W306" s="34"/>
      <x:c r="X306" s="52"/>
      <x:c r="Y306" s="61" t="str">
        <x:f>IF(A306="","",IF(COUNTIF($A$6:$A$605,A306)&gt;1,"DUPLICADO","OK"))</x:f>
      </x:c>
      <x:c r="Z306" s="61" t="str">
        <x:f>IF(A306="","",IF(C306="","FALTA TÍTULO",IF(E306="","FALTA ÁREA",IF(W306&lt;&gt;"Sí","PENDIENTE","LISTO"))))</x:f>
      </x:c>
    </x:row>
    <x:row r="307">
      <x:c r="A307" s="40"/>
      <x:c r="B307" s="40"/>
      <x:c r="C307" s="37"/>
      <x:c r="D307" s="37"/>
      <x:c r="E307" s="37"/>
      <x:c r="F307" s="43"/>
      <x:c r="G307" s="43"/>
      <x:c r="H307" s="43"/>
      <x:c r="I307" s="55" t="str">
        <x:f>IF(OR(F307="",G307="",H307=""),"",F307&amp;" "&amp;UPPER(G307)&amp;"."&amp;LOWER(H307))</x:f>
      </x:c>
      <x:c r="J307" s="37"/>
      <x:c r="K307" s="37"/>
      <x:c r="L307" s="46"/>
      <x:c r="M307" s="43"/>
      <x:c r="N307" s="43"/>
      <x:c r="O307" s="43"/>
      <x:c r="P307" s="58" t="str">
        <x:f>IF(N307="","","Estantería "&amp;N307&amp;IF(O307="",""," - Balda "&amp;N307&amp;O307))</x:f>
      </x:c>
      <x:c r="Q307" s="37"/>
      <x:c r="R307" s="37"/>
      <x:c r="S307" s="49"/>
      <x:c r="T307" s="37"/>
      <x:c r="U307" s="37"/>
      <x:c r="V307" s="37"/>
      <x:c r="W307" s="34"/>
      <x:c r="X307" s="52"/>
      <x:c r="Y307" s="61" t="str">
        <x:f>IF(A307="","",IF(COUNTIF($A$6:$A$605,A307)&gt;1,"DUPLICADO","OK"))</x:f>
      </x:c>
      <x:c r="Z307" s="61" t="str">
        <x:f>IF(A307="","",IF(C307="","FALTA TÍTULO",IF(E307="","FALTA ÁREA",IF(W307&lt;&gt;"Sí","PENDIENTE","LISTO"))))</x:f>
      </x:c>
    </x:row>
    <x:row r="308">
      <x:c r="A308" s="40"/>
      <x:c r="B308" s="40"/>
      <x:c r="C308" s="37"/>
      <x:c r="D308" s="37"/>
      <x:c r="E308" s="37"/>
      <x:c r="F308" s="43"/>
      <x:c r="G308" s="43"/>
      <x:c r="H308" s="43"/>
      <x:c r="I308" s="55" t="str">
        <x:f>IF(OR(F308="",G308="",H308=""),"",F308&amp;" "&amp;UPPER(G308)&amp;"."&amp;LOWER(H308))</x:f>
      </x:c>
      <x:c r="J308" s="37"/>
      <x:c r="K308" s="37"/>
      <x:c r="L308" s="46"/>
      <x:c r="M308" s="43"/>
      <x:c r="N308" s="43"/>
      <x:c r="O308" s="43"/>
      <x:c r="P308" s="58" t="str">
        <x:f>IF(N308="","","Estantería "&amp;N308&amp;IF(O308="",""," - Balda "&amp;N308&amp;O308))</x:f>
      </x:c>
      <x:c r="Q308" s="37"/>
      <x:c r="R308" s="37"/>
      <x:c r="S308" s="49"/>
      <x:c r="T308" s="37"/>
      <x:c r="U308" s="37"/>
      <x:c r="V308" s="37"/>
      <x:c r="W308" s="34"/>
      <x:c r="X308" s="52"/>
      <x:c r="Y308" s="61" t="str">
        <x:f>IF(A308="","",IF(COUNTIF($A$6:$A$605,A308)&gt;1,"DUPLICADO","OK"))</x:f>
      </x:c>
      <x:c r="Z308" s="61" t="str">
        <x:f>IF(A308="","",IF(C308="","FALTA TÍTULO",IF(E308="","FALTA ÁREA",IF(W308&lt;&gt;"Sí","PENDIENTE","LISTO"))))</x:f>
      </x:c>
    </x:row>
    <x:row r="309">
      <x:c r="A309" s="40"/>
      <x:c r="B309" s="40"/>
      <x:c r="C309" s="37"/>
      <x:c r="D309" s="37"/>
      <x:c r="E309" s="37"/>
      <x:c r="F309" s="43"/>
      <x:c r="G309" s="43"/>
      <x:c r="H309" s="43"/>
      <x:c r="I309" s="55" t="str">
        <x:f>IF(OR(F309="",G309="",H309=""),"",F309&amp;" "&amp;UPPER(G309)&amp;"."&amp;LOWER(H309))</x:f>
      </x:c>
      <x:c r="J309" s="37"/>
      <x:c r="K309" s="37"/>
      <x:c r="L309" s="46"/>
      <x:c r="M309" s="43"/>
      <x:c r="N309" s="43"/>
      <x:c r="O309" s="43"/>
      <x:c r="P309" s="58" t="str">
        <x:f>IF(N309="","","Estantería "&amp;N309&amp;IF(O309="",""," - Balda "&amp;N309&amp;O309))</x:f>
      </x:c>
      <x:c r="Q309" s="37"/>
      <x:c r="R309" s="37"/>
      <x:c r="S309" s="49"/>
      <x:c r="T309" s="37"/>
      <x:c r="U309" s="37"/>
      <x:c r="V309" s="37"/>
      <x:c r="W309" s="34"/>
      <x:c r="X309" s="52"/>
      <x:c r="Y309" s="61" t="str">
        <x:f>IF(A309="","",IF(COUNTIF($A$6:$A$605,A309)&gt;1,"DUPLICADO","OK"))</x:f>
      </x:c>
      <x:c r="Z309" s="61" t="str">
        <x:f>IF(A309="","",IF(C309="","FALTA TÍTULO",IF(E309="","FALTA ÁREA",IF(W309&lt;&gt;"Sí","PENDIENTE","LISTO"))))</x:f>
      </x:c>
    </x:row>
    <x:row r="310">
      <x:c r="A310" s="40"/>
      <x:c r="B310" s="40"/>
      <x:c r="C310" s="37"/>
      <x:c r="D310" s="37"/>
      <x:c r="E310" s="37"/>
      <x:c r="F310" s="43"/>
      <x:c r="G310" s="43"/>
      <x:c r="H310" s="43"/>
      <x:c r="I310" s="55" t="str">
        <x:f>IF(OR(F310="",G310="",H310=""),"",F310&amp;" "&amp;UPPER(G310)&amp;"."&amp;LOWER(H310))</x:f>
      </x:c>
      <x:c r="J310" s="37"/>
      <x:c r="K310" s="37"/>
      <x:c r="L310" s="46"/>
      <x:c r="M310" s="43"/>
      <x:c r="N310" s="43"/>
      <x:c r="O310" s="43"/>
      <x:c r="P310" s="58" t="str">
        <x:f>IF(N310="","","Estantería "&amp;N310&amp;IF(O310="",""," - Balda "&amp;N310&amp;O310))</x:f>
      </x:c>
      <x:c r="Q310" s="37"/>
      <x:c r="R310" s="37"/>
      <x:c r="S310" s="49"/>
      <x:c r="T310" s="37"/>
      <x:c r="U310" s="37"/>
      <x:c r="V310" s="37"/>
      <x:c r="W310" s="34"/>
      <x:c r="X310" s="52"/>
      <x:c r="Y310" s="61" t="str">
        <x:f>IF(A310="","",IF(COUNTIF($A$6:$A$605,A310)&gt;1,"DUPLICADO","OK"))</x:f>
      </x:c>
      <x:c r="Z310" s="61" t="str">
        <x:f>IF(A310="","",IF(C310="","FALTA TÍTULO",IF(E310="","FALTA ÁREA",IF(W310&lt;&gt;"Sí","PENDIENTE","LISTO"))))</x:f>
      </x:c>
    </x:row>
    <x:row r="311">
      <x:c r="A311" s="40"/>
      <x:c r="B311" s="40"/>
      <x:c r="C311" s="37"/>
      <x:c r="D311" s="37"/>
      <x:c r="E311" s="37"/>
      <x:c r="F311" s="43"/>
      <x:c r="G311" s="43"/>
      <x:c r="H311" s="43"/>
      <x:c r="I311" s="55" t="str">
        <x:f>IF(OR(F311="",G311="",H311=""),"",F311&amp;" "&amp;UPPER(G311)&amp;"."&amp;LOWER(H311))</x:f>
      </x:c>
      <x:c r="J311" s="37"/>
      <x:c r="K311" s="37"/>
      <x:c r="L311" s="46"/>
      <x:c r="M311" s="43"/>
      <x:c r="N311" s="43"/>
      <x:c r="O311" s="43"/>
      <x:c r="P311" s="58" t="str">
        <x:f>IF(N311="","","Estantería "&amp;N311&amp;IF(O311="",""," - Balda "&amp;N311&amp;O311))</x:f>
      </x:c>
      <x:c r="Q311" s="37"/>
      <x:c r="R311" s="37"/>
      <x:c r="S311" s="49"/>
      <x:c r="T311" s="37"/>
      <x:c r="U311" s="37"/>
      <x:c r="V311" s="37"/>
      <x:c r="W311" s="34"/>
      <x:c r="X311" s="52"/>
      <x:c r="Y311" s="61" t="str">
        <x:f>IF(A311="","",IF(COUNTIF($A$6:$A$605,A311)&gt;1,"DUPLICADO","OK"))</x:f>
      </x:c>
      <x:c r="Z311" s="61" t="str">
        <x:f>IF(A311="","",IF(C311="","FALTA TÍTULO",IF(E311="","FALTA ÁREA",IF(W311&lt;&gt;"Sí","PENDIENTE","LISTO"))))</x:f>
      </x:c>
    </x:row>
    <x:row r="312">
      <x:c r="A312" s="40"/>
      <x:c r="B312" s="40"/>
      <x:c r="C312" s="37"/>
      <x:c r="D312" s="37"/>
      <x:c r="E312" s="37"/>
      <x:c r="F312" s="43"/>
      <x:c r="G312" s="43"/>
      <x:c r="H312" s="43"/>
      <x:c r="I312" s="55" t="str">
        <x:f>IF(OR(F312="",G312="",H312=""),"",F312&amp;" "&amp;UPPER(G312)&amp;"."&amp;LOWER(H312))</x:f>
      </x:c>
      <x:c r="J312" s="37"/>
      <x:c r="K312" s="37"/>
      <x:c r="L312" s="46"/>
      <x:c r="M312" s="43"/>
      <x:c r="N312" s="43"/>
      <x:c r="O312" s="43"/>
      <x:c r="P312" s="58" t="str">
        <x:f>IF(N312="","","Estantería "&amp;N312&amp;IF(O312="",""," - Balda "&amp;N312&amp;O312))</x:f>
      </x:c>
      <x:c r="Q312" s="37"/>
      <x:c r="R312" s="37"/>
      <x:c r="S312" s="49"/>
      <x:c r="T312" s="37"/>
      <x:c r="U312" s="37"/>
      <x:c r="V312" s="37"/>
      <x:c r="W312" s="34"/>
      <x:c r="X312" s="52"/>
      <x:c r="Y312" s="61" t="str">
        <x:f>IF(A312="","",IF(COUNTIF($A$6:$A$605,A312)&gt;1,"DUPLICADO","OK"))</x:f>
      </x:c>
      <x:c r="Z312" s="61" t="str">
        <x:f>IF(A312="","",IF(C312="","FALTA TÍTULO",IF(E312="","FALTA ÁREA",IF(W312&lt;&gt;"Sí","PENDIENTE","LISTO"))))</x:f>
      </x:c>
    </x:row>
    <x:row r="313">
      <x:c r="A313" s="40"/>
      <x:c r="B313" s="40"/>
      <x:c r="C313" s="37"/>
      <x:c r="D313" s="37"/>
      <x:c r="E313" s="37"/>
      <x:c r="F313" s="43"/>
      <x:c r="G313" s="43"/>
      <x:c r="H313" s="43"/>
      <x:c r="I313" s="55" t="str">
        <x:f>IF(OR(F313="",G313="",H313=""),"",F313&amp;" "&amp;UPPER(G313)&amp;"."&amp;LOWER(H313))</x:f>
      </x:c>
      <x:c r="J313" s="37"/>
      <x:c r="K313" s="37"/>
      <x:c r="L313" s="46"/>
      <x:c r="M313" s="43"/>
      <x:c r="N313" s="43"/>
      <x:c r="O313" s="43"/>
      <x:c r="P313" s="58" t="str">
        <x:f>IF(N313="","","Estantería "&amp;N313&amp;IF(O313="",""," - Balda "&amp;N313&amp;O313))</x:f>
      </x:c>
      <x:c r="Q313" s="37"/>
      <x:c r="R313" s="37"/>
      <x:c r="S313" s="49"/>
      <x:c r="T313" s="37"/>
      <x:c r="U313" s="37"/>
      <x:c r="V313" s="37"/>
      <x:c r="W313" s="34"/>
      <x:c r="X313" s="52"/>
      <x:c r="Y313" s="61" t="str">
        <x:f>IF(A313="","",IF(COUNTIF($A$6:$A$605,A313)&gt;1,"DUPLICADO","OK"))</x:f>
      </x:c>
      <x:c r="Z313" s="61" t="str">
        <x:f>IF(A313="","",IF(C313="","FALTA TÍTULO",IF(E313="","FALTA ÁREA",IF(W313&lt;&gt;"Sí","PENDIENTE","LISTO"))))</x:f>
      </x:c>
    </x:row>
    <x:row r="314">
      <x:c r="A314" s="40"/>
      <x:c r="B314" s="40"/>
      <x:c r="C314" s="37"/>
      <x:c r="D314" s="37"/>
      <x:c r="E314" s="37"/>
      <x:c r="F314" s="43"/>
      <x:c r="G314" s="43"/>
      <x:c r="H314" s="43"/>
      <x:c r="I314" s="55" t="str">
        <x:f>IF(OR(F314="",G314="",H314=""),"",F314&amp;" "&amp;UPPER(G314)&amp;"."&amp;LOWER(H314))</x:f>
      </x:c>
      <x:c r="J314" s="37"/>
      <x:c r="K314" s="37"/>
      <x:c r="L314" s="46"/>
      <x:c r="M314" s="43"/>
      <x:c r="N314" s="43"/>
      <x:c r="O314" s="43"/>
      <x:c r="P314" s="58" t="str">
        <x:f>IF(N314="","","Estantería "&amp;N314&amp;IF(O314="",""," - Balda "&amp;N314&amp;O314))</x:f>
      </x:c>
      <x:c r="Q314" s="37"/>
      <x:c r="R314" s="37"/>
      <x:c r="S314" s="49"/>
      <x:c r="T314" s="37"/>
      <x:c r="U314" s="37"/>
      <x:c r="V314" s="37"/>
      <x:c r="W314" s="34"/>
      <x:c r="X314" s="52"/>
      <x:c r="Y314" s="61" t="str">
        <x:f>IF(A314="","",IF(COUNTIF($A$6:$A$605,A314)&gt;1,"DUPLICADO","OK"))</x:f>
      </x:c>
      <x:c r="Z314" s="61" t="str">
        <x:f>IF(A314="","",IF(C314="","FALTA TÍTULO",IF(E314="","FALTA ÁREA",IF(W314&lt;&gt;"Sí","PENDIENTE","LISTO"))))</x:f>
      </x:c>
    </x:row>
    <x:row r="315">
      <x:c r="A315" s="40"/>
      <x:c r="B315" s="40"/>
      <x:c r="C315" s="37"/>
      <x:c r="D315" s="37"/>
      <x:c r="E315" s="37"/>
      <x:c r="F315" s="43"/>
      <x:c r="G315" s="43"/>
      <x:c r="H315" s="43"/>
      <x:c r="I315" s="55" t="str">
        <x:f>IF(OR(F315="",G315="",H315=""),"",F315&amp;" "&amp;UPPER(G315)&amp;"."&amp;LOWER(H315))</x:f>
      </x:c>
      <x:c r="J315" s="37"/>
      <x:c r="K315" s="37"/>
      <x:c r="L315" s="46"/>
      <x:c r="M315" s="43"/>
      <x:c r="N315" s="43"/>
      <x:c r="O315" s="43"/>
      <x:c r="P315" s="58" t="str">
        <x:f>IF(N315="","","Estantería "&amp;N315&amp;IF(O315="",""," - Balda "&amp;N315&amp;O315))</x:f>
      </x:c>
      <x:c r="Q315" s="37"/>
      <x:c r="R315" s="37"/>
      <x:c r="S315" s="49"/>
      <x:c r="T315" s="37"/>
      <x:c r="U315" s="37"/>
      <x:c r="V315" s="37"/>
      <x:c r="W315" s="34"/>
      <x:c r="X315" s="52"/>
      <x:c r="Y315" s="61" t="str">
        <x:f>IF(A315="","",IF(COUNTIF($A$6:$A$605,A315)&gt;1,"DUPLICADO","OK"))</x:f>
      </x:c>
      <x:c r="Z315" s="61" t="str">
        <x:f>IF(A315="","",IF(C315="","FALTA TÍTULO",IF(E315="","FALTA ÁREA",IF(W315&lt;&gt;"Sí","PENDIENTE","LISTO"))))</x:f>
      </x:c>
    </x:row>
    <x:row r="316">
      <x:c r="A316" s="40"/>
      <x:c r="B316" s="40"/>
      <x:c r="C316" s="37"/>
      <x:c r="D316" s="37"/>
      <x:c r="E316" s="37"/>
      <x:c r="F316" s="43"/>
      <x:c r="G316" s="43"/>
      <x:c r="H316" s="43"/>
      <x:c r="I316" s="55" t="str">
        <x:f>IF(OR(F316="",G316="",H316=""),"",F316&amp;" "&amp;UPPER(G316)&amp;"."&amp;LOWER(H316))</x:f>
      </x:c>
      <x:c r="J316" s="37"/>
      <x:c r="K316" s="37"/>
      <x:c r="L316" s="46"/>
      <x:c r="M316" s="43"/>
      <x:c r="N316" s="43"/>
      <x:c r="O316" s="43"/>
      <x:c r="P316" s="58" t="str">
        <x:f>IF(N316="","","Estantería "&amp;N316&amp;IF(O316="",""," - Balda "&amp;N316&amp;O316))</x:f>
      </x:c>
      <x:c r="Q316" s="37"/>
      <x:c r="R316" s="37"/>
      <x:c r="S316" s="49"/>
      <x:c r="T316" s="37"/>
      <x:c r="U316" s="37"/>
      <x:c r="V316" s="37"/>
      <x:c r="W316" s="34"/>
      <x:c r="X316" s="52"/>
      <x:c r="Y316" s="61" t="str">
        <x:f>IF(A316="","",IF(COUNTIF($A$6:$A$605,A316)&gt;1,"DUPLICADO","OK"))</x:f>
      </x:c>
      <x:c r="Z316" s="61" t="str">
        <x:f>IF(A316="","",IF(C316="","FALTA TÍTULO",IF(E316="","FALTA ÁREA",IF(W316&lt;&gt;"Sí","PENDIENTE","LISTO"))))</x:f>
      </x:c>
    </x:row>
    <x:row r="317">
      <x:c r="A317" s="40"/>
      <x:c r="B317" s="40"/>
      <x:c r="C317" s="37"/>
      <x:c r="D317" s="37"/>
      <x:c r="E317" s="37"/>
      <x:c r="F317" s="43"/>
      <x:c r="G317" s="43"/>
      <x:c r="H317" s="43"/>
      <x:c r="I317" s="55" t="str">
        <x:f>IF(OR(F317="",G317="",H317=""),"",F317&amp;" "&amp;UPPER(G317)&amp;"."&amp;LOWER(H317))</x:f>
      </x:c>
      <x:c r="J317" s="37"/>
      <x:c r="K317" s="37"/>
      <x:c r="L317" s="46"/>
      <x:c r="M317" s="43"/>
      <x:c r="N317" s="43"/>
      <x:c r="O317" s="43"/>
      <x:c r="P317" s="58" t="str">
        <x:f>IF(N317="","","Estantería "&amp;N317&amp;IF(O317="",""," - Balda "&amp;N317&amp;O317))</x:f>
      </x:c>
      <x:c r="Q317" s="37"/>
      <x:c r="R317" s="37"/>
      <x:c r="S317" s="49"/>
      <x:c r="T317" s="37"/>
      <x:c r="U317" s="37"/>
      <x:c r="V317" s="37"/>
      <x:c r="W317" s="34"/>
      <x:c r="X317" s="52"/>
      <x:c r="Y317" s="61" t="str">
        <x:f>IF(A317="","",IF(COUNTIF($A$6:$A$605,A317)&gt;1,"DUPLICADO","OK"))</x:f>
      </x:c>
      <x:c r="Z317" s="61" t="str">
        <x:f>IF(A317="","",IF(C317="","FALTA TÍTULO",IF(E317="","FALTA ÁREA",IF(W317&lt;&gt;"Sí","PENDIENTE","LISTO"))))</x:f>
      </x:c>
    </x:row>
    <x:row r="318">
      <x:c r="A318" s="40"/>
      <x:c r="B318" s="40"/>
      <x:c r="C318" s="37"/>
      <x:c r="D318" s="37"/>
      <x:c r="E318" s="37"/>
      <x:c r="F318" s="43"/>
      <x:c r="G318" s="43"/>
      <x:c r="H318" s="43"/>
      <x:c r="I318" s="55" t="str">
        <x:f>IF(OR(F318="",G318="",H318=""),"",F318&amp;" "&amp;UPPER(G318)&amp;"."&amp;LOWER(H318))</x:f>
      </x:c>
      <x:c r="J318" s="37"/>
      <x:c r="K318" s="37"/>
      <x:c r="L318" s="46"/>
      <x:c r="M318" s="43"/>
      <x:c r="N318" s="43"/>
      <x:c r="O318" s="43"/>
      <x:c r="P318" s="58" t="str">
        <x:f>IF(N318="","","Estantería "&amp;N318&amp;IF(O318="",""," - Balda "&amp;N318&amp;O318))</x:f>
      </x:c>
      <x:c r="Q318" s="37"/>
      <x:c r="R318" s="37"/>
      <x:c r="S318" s="49"/>
      <x:c r="T318" s="37"/>
      <x:c r="U318" s="37"/>
      <x:c r="V318" s="37"/>
      <x:c r="W318" s="34"/>
      <x:c r="X318" s="52"/>
      <x:c r="Y318" s="61" t="str">
        <x:f>IF(A318="","",IF(COUNTIF($A$6:$A$605,A318)&gt;1,"DUPLICADO","OK"))</x:f>
      </x:c>
      <x:c r="Z318" s="61" t="str">
        <x:f>IF(A318="","",IF(C318="","FALTA TÍTULO",IF(E318="","FALTA ÁREA",IF(W318&lt;&gt;"Sí","PENDIENTE","LISTO"))))</x:f>
      </x:c>
    </x:row>
    <x:row r="319">
      <x:c r="A319" s="40"/>
      <x:c r="B319" s="40"/>
      <x:c r="C319" s="37"/>
      <x:c r="D319" s="37"/>
      <x:c r="E319" s="37"/>
      <x:c r="F319" s="43"/>
      <x:c r="G319" s="43"/>
      <x:c r="H319" s="43"/>
      <x:c r="I319" s="55" t="str">
        <x:f>IF(OR(F319="",G319="",H319=""),"",F319&amp;" "&amp;UPPER(G319)&amp;"."&amp;LOWER(H319))</x:f>
      </x:c>
      <x:c r="J319" s="37"/>
      <x:c r="K319" s="37"/>
      <x:c r="L319" s="46"/>
      <x:c r="M319" s="43"/>
      <x:c r="N319" s="43"/>
      <x:c r="O319" s="43"/>
      <x:c r="P319" s="58" t="str">
        <x:f>IF(N319="","","Estantería "&amp;N319&amp;IF(O319="",""," - Balda "&amp;N319&amp;O319))</x:f>
      </x:c>
      <x:c r="Q319" s="37"/>
      <x:c r="R319" s="37"/>
      <x:c r="S319" s="49"/>
      <x:c r="T319" s="37"/>
      <x:c r="U319" s="37"/>
      <x:c r="V319" s="37"/>
      <x:c r="W319" s="34"/>
      <x:c r="X319" s="52"/>
      <x:c r="Y319" s="61" t="str">
        <x:f>IF(A319="","",IF(COUNTIF($A$6:$A$605,A319)&gt;1,"DUPLICADO","OK"))</x:f>
      </x:c>
      <x:c r="Z319" s="61" t="str">
        <x:f>IF(A319="","",IF(C319="","FALTA TÍTULO",IF(E319="","FALTA ÁREA",IF(W319&lt;&gt;"Sí","PENDIENTE","LISTO"))))</x:f>
      </x:c>
    </x:row>
    <x:row r="320">
      <x:c r="A320" s="40"/>
      <x:c r="B320" s="40"/>
      <x:c r="C320" s="37"/>
      <x:c r="D320" s="37"/>
      <x:c r="E320" s="37"/>
      <x:c r="F320" s="43"/>
      <x:c r="G320" s="43"/>
      <x:c r="H320" s="43"/>
      <x:c r="I320" s="55" t="str">
        <x:f>IF(OR(F320="",G320="",H320=""),"",F320&amp;" "&amp;UPPER(G320)&amp;"."&amp;LOWER(H320))</x:f>
      </x:c>
      <x:c r="J320" s="37"/>
      <x:c r="K320" s="37"/>
      <x:c r="L320" s="46"/>
      <x:c r="M320" s="43"/>
      <x:c r="N320" s="43"/>
      <x:c r="O320" s="43"/>
      <x:c r="P320" s="58" t="str">
        <x:f>IF(N320="","","Estantería "&amp;N320&amp;IF(O320="",""," - Balda "&amp;N320&amp;O320))</x:f>
      </x:c>
      <x:c r="Q320" s="37"/>
      <x:c r="R320" s="37"/>
      <x:c r="S320" s="49"/>
      <x:c r="T320" s="37"/>
      <x:c r="U320" s="37"/>
      <x:c r="V320" s="37"/>
      <x:c r="W320" s="34"/>
      <x:c r="X320" s="52"/>
      <x:c r="Y320" s="61" t="str">
        <x:f>IF(A320="","",IF(COUNTIF($A$6:$A$605,A320)&gt;1,"DUPLICADO","OK"))</x:f>
      </x:c>
      <x:c r="Z320" s="61" t="str">
        <x:f>IF(A320="","",IF(C320="","FALTA TÍTULO",IF(E320="","FALTA ÁREA",IF(W320&lt;&gt;"Sí","PENDIENTE","LISTO"))))</x:f>
      </x:c>
    </x:row>
    <x:row r="321">
      <x:c r="A321" s="40"/>
      <x:c r="B321" s="40"/>
      <x:c r="C321" s="37"/>
      <x:c r="D321" s="37"/>
      <x:c r="E321" s="37"/>
      <x:c r="F321" s="43"/>
      <x:c r="G321" s="43"/>
      <x:c r="H321" s="43"/>
      <x:c r="I321" s="55" t="str">
        <x:f>IF(OR(F321="",G321="",H321=""),"",F321&amp;" "&amp;UPPER(G321)&amp;"."&amp;LOWER(H321))</x:f>
      </x:c>
      <x:c r="J321" s="37"/>
      <x:c r="K321" s="37"/>
      <x:c r="L321" s="46"/>
      <x:c r="M321" s="43"/>
      <x:c r="N321" s="43"/>
      <x:c r="O321" s="43"/>
      <x:c r="P321" s="58" t="str">
        <x:f>IF(N321="","","Estantería "&amp;N321&amp;IF(O321="",""," - Balda "&amp;N321&amp;O321))</x:f>
      </x:c>
      <x:c r="Q321" s="37"/>
      <x:c r="R321" s="37"/>
      <x:c r="S321" s="49"/>
      <x:c r="T321" s="37"/>
      <x:c r="U321" s="37"/>
      <x:c r="V321" s="37"/>
      <x:c r="W321" s="34"/>
      <x:c r="X321" s="52"/>
      <x:c r="Y321" s="61" t="str">
        <x:f>IF(A321="","",IF(COUNTIF($A$6:$A$605,A321)&gt;1,"DUPLICADO","OK"))</x:f>
      </x:c>
      <x:c r="Z321" s="61" t="str">
        <x:f>IF(A321="","",IF(C321="","FALTA TÍTULO",IF(E321="","FALTA ÁREA",IF(W321&lt;&gt;"Sí","PENDIENTE","LISTO"))))</x:f>
      </x:c>
    </x:row>
    <x:row r="322">
      <x:c r="A322" s="40"/>
      <x:c r="B322" s="40"/>
      <x:c r="C322" s="37"/>
      <x:c r="D322" s="37"/>
      <x:c r="E322" s="37"/>
      <x:c r="F322" s="43"/>
      <x:c r="G322" s="43"/>
      <x:c r="H322" s="43"/>
      <x:c r="I322" s="55" t="str">
        <x:f>IF(OR(F322="",G322="",H322=""),"",F322&amp;" "&amp;UPPER(G322)&amp;"."&amp;LOWER(H322))</x:f>
      </x:c>
      <x:c r="J322" s="37"/>
      <x:c r="K322" s="37"/>
      <x:c r="L322" s="46"/>
      <x:c r="M322" s="43"/>
      <x:c r="N322" s="43"/>
      <x:c r="O322" s="43"/>
      <x:c r="P322" s="58" t="str">
        <x:f>IF(N322="","","Estantería "&amp;N322&amp;IF(O322="",""," - Balda "&amp;N322&amp;O322))</x:f>
      </x:c>
      <x:c r="Q322" s="37"/>
      <x:c r="R322" s="37"/>
      <x:c r="S322" s="49"/>
      <x:c r="T322" s="37"/>
      <x:c r="U322" s="37"/>
      <x:c r="V322" s="37"/>
      <x:c r="W322" s="34"/>
      <x:c r="X322" s="52"/>
      <x:c r="Y322" s="61" t="str">
        <x:f>IF(A322="","",IF(COUNTIF($A$6:$A$605,A322)&gt;1,"DUPLICADO","OK"))</x:f>
      </x:c>
      <x:c r="Z322" s="61" t="str">
        <x:f>IF(A322="","",IF(C322="","FALTA TÍTULO",IF(E322="","FALTA ÁREA",IF(W322&lt;&gt;"Sí","PENDIENTE","LISTO"))))</x:f>
      </x:c>
    </x:row>
    <x:row r="323">
      <x:c r="A323" s="40"/>
      <x:c r="B323" s="40"/>
      <x:c r="C323" s="37"/>
      <x:c r="D323" s="37"/>
      <x:c r="E323" s="37"/>
      <x:c r="F323" s="43"/>
      <x:c r="G323" s="43"/>
      <x:c r="H323" s="43"/>
      <x:c r="I323" s="55" t="str">
        <x:f>IF(OR(F323="",G323="",H323=""),"",F323&amp;" "&amp;UPPER(G323)&amp;"."&amp;LOWER(H323))</x:f>
      </x:c>
      <x:c r="J323" s="37"/>
      <x:c r="K323" s="37"/>
      <x:c r="L323" s="46"/>
      <x:c r="M323" s="43"/>
      <x:c r="N323" s="43"/>
      <x:c r="O323" s="43"/>
      <x:c r="P323" s="58" t="str">
        <x:f>IF(N323="","","Estantería "&amp;N323&amp;IF(O323="",""," - Balda "&amp;N323&amp;O323))</x:f>
      </x:c>
      <x:c r="Q323" s="37"/>
      <x:c r="R323" s="37"/>
      <x:c r="S323" s="49"/>
      <x:c r="T323" s="37"/>
      <x:c r="U323" s="37"/>
      <x:c r="V323" s="37"/>
      <x:c r="W323" s="34"/>
      <x:c r="X323" s="52"/>
      <x:c r="Y323" s="61" t="str">
        <x:f>IF(A323="","",IF(COUNTIF($A$6:$A$605,A323)&gt;1,"DUPLICADO","OK"))</x:f>
      </x:c>
      <x:c r="Z323" s="61" t="str">
        <x:f>IF(A323="","",IF(C323="","FALTA TÍTULO",IF(E323="","FALTA ÁREA",IF(W323&lt;&gt;"Sí","PENDIENTE","LISTO"))))</x:f>
      </x:c>
    </x:row>
    <x:row r="324">
      <x:c r="A324" s="40"/>
      <x:c r="B324" s="40"/>
      <x:c r="C324" s="37"/>
      <x:c r="D324" s="37"/>
      <x:c r="E324" s="37"/>
      <x:c r="F324" s="43"/>
      <x:c r="G324" s="43"/>
      <x:c r="H324" s="43"/>
      <x:c r="I324" s="55" t="str">
        <x:f>IF(OR(F324="",G324="",H324=""),"",F324&amp;" "&amp;UPPER(G324)&amp;"."&amp;LOWER(H324))</x:f>
      </x:c>
      <x:c r="J324" s="37"/>
      <x:c r="K324" s="37"/>
      <x:c r="L324" s="46"/>
      <x:c r="M324" s="43"/>
      <x:c r="N324" s="43"/>
      <x:c r="O324" s="43"/>
      <x:c r="P324" s="58" t="str">
        <x:f>IF(N324="","","Estantería "&amp;N324&amp;IF(O324="",""," - Balda "&amp;N324&amp;O324))</x:f>
      </x:c>
      <x:c r="Q324" s="37"/>
      <x:c r="R324" s="37"/>
      <x:c r="S324" s="49"/>
      <x:c r="T324" s="37"/>
      <x:c r="U324" s="37"/>
      <x:c r="V324" s="37"/>
      <x:c r="W324" s="34"/>
      <x:c r="X324" s="52"/>
      <x:c r="Y324" s="61" t="str">
        <x:f>IF(A324="","",IF(COUNTIF($A$6:$A$605,A324)&gt;1,"DUPLICADO","OK"))</x:f>
      </x:c>
      <x:c r="Z324" s="61" t="str">
        <x:f>IF(A324="","",IF(C324="","FALTA TÍTULO",IF(E324="","FALTA ÁREA",IF(W324&lt;&gt;"Sí","PENDIENTE","LISTO"))))</x:f>
      </x:c>
    </x:row>
    <x:row r="325">
      <x:c r="A325" s="40"/>
      <x:c r="B325" s="40"/>
      <x:c r="C325" s="37"/>
      <x:c r="D325" s="37"/>
      <x:c r="E325" s="37"/>
      <x:c r="F325" s="43"/>
      <x:c r="G325" s="43"/>
      <x:c r="H325" s="43"/>
      <x:c r="I325" s="55" t="str">
        <x:f>IF(OR(F325="",G325="",H325=""),"",F325&amp;" "&amp;UPPER(G325)&amp;"."&amp;LOWER(H325))</x:f>
      </x:c>
      <x:c r="J325" s="37"/>
      <x:c r="K325" s="37"/>
      <x:c r="L325" s="46"/>
      <x:c r="M325" s="43"/>
      <x:c r="N325" s="43"/>
      <x:c r="O325" s="43"/>
      <x:c r="P325" s="58" t="str">
        <x:f>IF(N325="","","Estantería "&amp;N325&amp;IF(O325="",""," - Balda "&amp;N325&amp;O325))</x:f>
      </x:c>
      <x:c r="Q325" s="37"/>
      <x:c r="R325" s="37"/>
      <x:c r="S325" s="49"/>
      <x:c r="T325" s="37"/>
      <x:c r="U325" s="37"/>
      <x:c r="V325" s="37"/>
      <x:c r="W325" s="34"/>
      <x:c r="X325" s="52"/>
      <x:c r="Y325" s="61" t="str">
        <x:f>IF(A325="","",IF(COUNTIF($A$6:$A$605,A325)&gt;1,"DUPLICADO","OK"))</x:f>
      </x:c>
      <x:c r="Z325" s="61" t="str">
        <x:f>IF(A325="","",IF(C325="","FALTA TÍTULO",IF(E325="","FALTA ÁREA",IF(W325&lt;&gt;"Sí","PENDIENTE","LISTO"))))</x:f>
      </x:c>
    </x:row>
    <x:row r="326">
      <x:c r="A326" s="40"/>
      <x:c r="B326" s="40"/>
      <x:c r="C326" s="37"/>
      <x:c r="D326" s="37"/>
      <x:c r="E326" s="37"/>
      <x:c r="F326" s="43"/>
      <x:c r="G326" s="43"/>
      <x:c r="H326" s="43"/>
      <x:c r="I326" s="55" t="str">
        <x:f>IF(OR(F326="",G326="",H326=""),"",F326&amp;" "&amp;UPPER(G326)&amp;"."&amp;LOWER(H326))</x:f>
      </x:c>
      <x:c r="J326" s="37"/>
      <x:c r="K326" s="37"/>
      <x:c r="L326" s="46"/>
      <x:c r="M326" s="43"/>
      <x:c r="N326" s="43"/>
      <x:c r="O326" s="43"/>
      <x:c r="P326" s="58" t="str">
        <x:f>IF(N326="","","Estantería "&amp;N326&amp;IF(O326="",""," - Balda "&amp;N326&amp;O326))</x:f>
      </x:c>
      <x:c r="Q326" s="37"/>
      <x:c r="R326" s="37"/>
      <x:c r="S326" s="49"/>
      <x:c r="T326" s="37"/>
      <x:c r="U326" s="37"/>
      <x:c r="V326" s="37"/>
      <x:c r="W326" s="34"/>
      <x:c r="X326" s="52"/>
      <x:c r="Y326" s="61" t="str">
        <x:f>IF(A326="","",IF(COUNTIF($A$6:$A$605,A326)&gt;1,"DUPLICADO","OK"))</x:f>
      </x:c>
      <x:c r="Z326" s="61" t="str">
        <x:f>IF(A326="","",IF(C326="","FALTA TÍTULO",IF(E326="","FALTA ÁREA",IF(W326&lt;&gt;"Sí","PENDIENTE","LISTO"))))</x:f>
      </x:c>
    </x:row>
    <x:row r="327">
      <x:c r="A327" s="40"/>
      <x:c r="B327" s="40"/>
      <x:c r="C327" s="37"/>
      <x:c r="D327" s="37"/>
      <x:c r="E327" s="37"/>
      <x:c r="F327" s="43"/>
      <x:c r="G327" s="43"/>
      <x:c r="H327" s="43"/>
      <x:c r="I327" s="55" t="str">
        <x:f>IF(OR(F327="",G327="",H327=""),"",F327&amp;" "&amp;UPPER(G327)&amp;"."&amp;LOWER(H327))</x:f>
      </x:c>
      <x:c r="J327" s="37"/>
      <x:c r="K327" s="37"/>
      <x:c r="L327" s="46"/>
      <x:c r="M327" s="43"/>
      <x:c r="N327" s="43"/>
      <x:c r="O327" s="43"/>
      <x:c r="P327" s="58" t="str">
        <x:f>IF(N327="","","Estantería "&amp;N327&amp;IF(O327="",""," - Balda "&amp;N327&amp;O327))</x:f>
      </x:c>
      <x:c r="Q327" s="37"/>
      <x:c r="R327" s="37"/>
      <x:c r="S327" s="49"/>
      <x:c r="T327" s="37"/>
      <x:c r="U327" s="37"/>
      <x:c r="V327" s="37"/>
      <x:c r="W327" s="34"/>
      <x:c r="X327" s="52"/>
      <x:c r="Y327" s="61" t="str">
        <x:f>IF(A327="","",IF(COUNTIF($A$6:$A$605,A327)&gt;1,"DUPLICADO","OK"))</x:f>
      </x:c>
      <x:c r="Z327" s="61" t="str">
        <x:f>IF(A327="","",IF(C327="","FALTA TÍTULO",IF(E327="","FALTA ÁREA",IF(W327&lt;&gt;"Sí","PENDIENTE","LISTO"))))</x:f>
      </x:c>
    </x:row>
    <x:row r="328">
      <x:c r="A328" s="40"/>
      <x:c r="B328" s="40"/>
      <x:c r="C328" s="37"/>
      <x:c r="D328" s="37"/>
      <x:c r="E328" s="37"/>
      <x:c r="F328" s="43"/>
      <x:c r="G328" s="43"/>
      <x:c r="H328" s="43"/>
      <x:c r="I328" s="55" t="str">
        <x:f>IF(OR(F328="",G328="",H328=""),"",F328&amp;" "&amp;UPPER(G328)&amp;"."&amp;LOWER(H328))</x:f>
      </x:c>
      <x:c r="J328" s="37"/>
      <x:c r="K328" s="37"/>
      <x:c r="L328" s="46"/>
      <x:c r="M328" s="43"/>
      <x:c r="N328" s="43"/>
      <x:c r="O328" s="43"/>
      <x:c r="P328" s="58" t="str">
        <x:f>IF(N328="","","Estantería "&amp;N328&amp;IF(O328="",""," - Balda "&amp;N328&amp;O328))</x:f>
      </x:c>
      <x:c r="Q328" s="37"/>
      <x:c r="R328" s="37"/>
      <x:c r="S328" s="49"/>
      <x:c r="T328" s="37"/>
      <x:c r="U328" s="37"/>
      <x:c r="V328" s="37"/>
      <x:c r="W328" s="34"/>
      <x:c r="X328" s="52"/>
      <x:c r="Y328" s="61" t="str">
        <x:f>IF(A328="","",IF(COUNTIF($A$6:$A$605,A328)&gt;1,"DUPLICADO","OK"))</x:f>
      </x:c>
      <x:c r="Z328" s="61" t="str">
        <x:f>IF(A328="","",IF(C328="","FALTA TÍTULO",IF(E328="","FALTA ÁREA",IF(W328&lt;&gt;"Sí","PENDIENTE","LISTO"))))</x:f>
      </x:c>
    </x:row>
    <x:row r="329">
      <x:c r="A329" s="40"/>
      <x:c r="B329" s="40"/>
      <x:c r="C329" s="37"/>
      <x:c r="D329" s="37"/>
      <x:c r="E329" s="37"/>
      <x:c r="F329" s="43"/>
      <x:c r="G329" s="43"/>
      <x:c r="H329" s="43"/>
      <x:c r="I329" s="55" t="str">
        <x:f>IF(OR(F329="",G329="",H329=""),"",F329&amp;" "&amp;UPPER(G329)&amp;"."&amp;LOWER(H329))</x:f>
      </x:c>
      <x:c r="J329" s="37"/>
      <x:c r="K329" s="37"/>
      <x:c r="L329" s="46"/>
      <x:c r="M329" s="43"/>
      <x:c r="N329" s="43"/>
      <x:c r="O329" s="43"/>
      <x:c r="P329" s="58" t="str">
        <x:f>IF(N329="","","Estantería "&amp;N329&amp;IF(O329="",""," - Balda "&amp;N329&amp;O329))</x:f>
      </x:c>
      <x:c r="Q329" s="37"/>
      <x:c r="R329" s="37"/>
      <x:c r="S329" s="49"/>
      <x:c r="T329" s="37"/>
      <x:c r="U329" s="37"/>
      <x:c r="V329" s="37"/>
      <x:c r="W329" s="34"/>
      <x:c r="X329" s="52"/>
      <x:c r="Y329" s="61" t="str">
        <x:f>IF(A329="","",IF(COUNTIF($A$6:$A$605,A329)&gt;1,"DUPLICADO","OK"))</x:f>
      </x:c>
      <x:c r="Z329" s="61" t="str">
        <x:f>IF(A329="","",IF(C329="","FALTA TÍTULO",IF(E329="","FALTA ÁREA",IF(W329&lt;&gt;"Sí","PENDIENTE","LISTO"))))</x:f>
      </x:c>
    </x:row>
    <x:row r="330">
      <x:c r="A330" s="40"/>
      <x:c r="B330" s="40"/>
      <x:c r="C330" s="37"/>
      <x:c r="D330" s="37"/>
      <x:c r="E330" s="37"/>
      <x:c r="F330" s="43"/>
      <x:c r="G330" s="43"/>
      <x:c r="H330" s="43"/>
      <x:c r="I330" s="55" t="str">
        <x:f>IF(OR(F330="",G330="",H330=""),"",F330&amp;" "&amp;UPPER(G330)&amp;"."&amp;LOWER(H330))</x:f>
      </x:c>
      <x:c r="J330" s="37"/>
      <x:c r="K330" s="37"/>
      <x:c r="L330" s="46"/>
      <x:c r="M330" s="43"/>
      <x:c r="N330" s="43"/>
      <x:c r="O330" s="43"/>
      <x:c r="P330" s="58" t="str">
        <x:f>IF(N330="","","Estantería "&amp;N330&amp;IF(O330="",""," - Balda "&amp;N330&amp;O330))</x:f>
      </x:c>
      <x:c r="Q330" s="37"/>
      <x:c r="R330" s="37"/>
      <x:c r="S330" s="49"/>
      <x:c r="T330" s="37"/>
      <x:c r="U330" s="37"/>
      <x:c r="V330" s="37"/>
      <x:c r="W330" s="34"/>
      <x:c r="X330" s="52"/>
      <x:c r="Y330" s="61" t="str">
        <x:f>IF(A330="","",IF(COUNTIF($A$6:$A$605,A330)&gt;1,"DUPLICADO","OK"))</x:f>
      </x:c>
      <x:c r="Z330" s="61" t="str">
        <x:f>IF(A330="","",IF(C330="","FALTA TÍTULO",IF(E330="","FALTA ÁREA",IF(W330&lt;&gt;"Sí","PENDIENTE","LISTO"))))</x:f>
      </x:c>
    </x:row>
    <x:row r="331">
      <x:c r="A331" s="40"/>
      <x:c r="B331" s="40"/>
      <x:c r="C331" s="37"/>
      <x:c r="D331" s="37"/>
      <x:c r="E331" s="37"/>
      <x:c r="F331" s="43"/>
      <x:c r="G331" s="43"/>
      <x:c r="H331" s="43"/>
      <x:c r="I331" s="55" t="str">
        <x:f>IF(OR(F331="",G331="",H331=""),"",F331&amp;" "&amp;UPPER(G331)&amp;"."&amp;LOWER(H331))</x:f>
      </x:c>
      <x:c r="J331" s="37"/>
      <x:c r="K331" s="37"/>
      <x:c r="L331" s="46"/>
      <x:c r="M331" s="43"/>
      <x:c r="N331" s="43"/>
      <x:c r="O331" s="43"/>
      <x:c r="P331" s="58" t="str">
        <x:f>IF(N331="","","Estantería "&amp;N331&amp;IF(O331="",""," - Balda "&amp;N331&amp;O331))</x:f>
      </x:c>
      <x:c r="Q331" s="37"/>
      <x:c r="R331" s="37"/>
      <x:c r="S331" s="49"/>
      <x:c r="T331" s="37"/>
      <x:c r="U331" s="37"/>
      <x:c r="V331" s="37"/>
      <x:c r="W331" s="34"/>
      <x:c r="X331" s="52"/>
      <x:c r="Y331" s="61" t="str">
        <x:f>IF(A331="","",IF(COUNTIF($A$6:$A$605,A331)&gt;1,"DUPLICADO","OK"))</x:f>
      </x:c>
      <x:c r="Z331" s="61" t="str">
        <x:f>IF(A331="","",IF(C331="","FALTA TÍTULO",IF(E331="","FALTA ÁREA",IF(W331&lt;&gt;"Sí","PENDIENTE","LISTO"))))</x:f>
      </x:c>
    </x:row>
    <x:row r="332">
      <x:c r="A332" s="40"/>
      <x:c r="B332" s="40"/>
      <x:c r="C332" s="37"/>
      <x:c r="D332" s="37"/>
      <x:c r="E332" s="37"/>
      <x:c r="F332" s="43"/>
      <x:c r="G332" s="43"/>
      <x:c r="H332" s="43"/>
      <x:c r="I332" s="55" t="str">
        <x:f>IF(OR(F332="",G332="",H332=""),"",F332&amp;" "&amp;UPPER(G332)&amp;"."&amp;LOWER(H332))</x:f>
      </x:c>
      <x:c r="J332" s="37"/>
      <x:c r="K332" s="37"/>
      <x:c r="L332" s="46"/>
      <x:c r="M332" s="43"/>
      <x:c r="N332" s="43"/>
      <x:c r="O332" s="43"/>
      <x:c r="P332" s="58" t="str">
        <x:f>IF(N332="","","Estantería "&amp;N332&amp;IF(O332="",""," - Balda "&amp;N332&amp;O332))</x:f>
      </x:c>
      <x:c r="Q332" s="37"/>
      <x:c r="R332" s="37"/>
      <x:c r="S332" s="49"/>
      <x:c r="T332" s="37"/>
      <x:c r="U332" s="37"/>
      <x:c r="V332" s="37"/>
      <x:c r="W332" s="34"/>
      <x:c r="X332" s="52"/>
      <x:c r="Y332" s="61" t="str">
        <x:f>IF(A332="","",IF(COUNTIF($A$6:$A$605,A332)&gt;1,"DUPLICADO","OK"))</x:f>
      </x:c>
      <x:c r="Z332" s="61" t="str">
        <x:f>IF(A332="","",IF(C332="","FALTA TÍTULO",IF(E332="","FALTA ÁREA",IF(W332&lt;&gt;"Sí","PENDIENTE","LISTO"))))</x:f>
      </x:c>
    </x:row>
    <x:row r="333">
      <x:c r="A333" s="40"/>
      <x:c r="B333" s="40"/>
      <x:c r="C333" s="37"/>
      <x:c r="D333" s="37"/>
      <x:c r="E333" s="37"/>
      <x:c r="F333" s="43"/>
      <x:c r="G333" s="43"/>
      <x:c r="H333" s="43"/>
      <x:c r="I333" s="55" t="str">
        <x:f>IF(OR(F333="",G333="",H333=""),"",F333&amp;" "&amp;UPPER(G333)&amp;"."&amp;LOWER(H333))</x:f>
      </x:c>
      <x:c r="J333" s="37"/>
      <x:c r="K333" s="37"/>
      <x:c r="L333" s="46"/>
      <x:c r="M333" s="43"/>
      <x:c r="N333" s="43"/>
      <x:c r="O333" s="43"/>
      <x:c r="P333" s="58" t="str">
        <x:f>IF(N333="","","Estantería "&amp;N333&amp;IF(O333="",""," - Balda "&amp;N333&amp;O333))</x:f>
      </x:c>
      <x:c r="Q333" s="37"/>
      <x:c r="R333" s="37"/>
      <x:c r="S333" s="49"/>
      <x:c r="T333" s="37"/>
      <x:c r="U333" s="37"/>
      <x:c r="V333" s="37"/>
      <x:c r="W333" s="34"/>
      <x:c r="X333" s="52"/>
      <x:c r="Y333" s="61" t="str">
        <x:f>IF(A333="","",IF(COUNTIF($A$6:$A$605,A333)&gt;1,"DUPLICADO","OK"))</x:f>
      </x:c>
      <x:c r="Z333" s="61" t="str">
        <x:f>IF(A333="","",IF(C333="","FALTA TÍTULO",IF(E333="","FALTA ÁREA",IF(W333&lt;&gt;"Sí","PENDIENTE","LISTO"))))</x:f>
      </x:c>
    </x:row>
    <x:row r="334">
      <x:c r="A334" s="40"/>
      <x:c r="B334" s="40"/>
      <x:c r="C334" s="37"/>
      <x:c r="D334" s="37"/>
      <x:c r="E334" s="37"/>
      <x:c r="F334" s="43"/>
      <x:c r="G334" s="43"/>
      <x:c r="H334" s="43"/>
      <x:c r="I334" s="55" t="str">
        <x:f>IF(OR(F334="",G334="",H334=""),"",F334&amp;" "&amp;UPPER(G334)&amp;"."&amp;LOWER(H334))</x:f>
      </x:c>
      <x:c r="J334" s="37"/>
      <x:c r="K334" s="37"/>
      <x:c r="L334" s="46"/>
      <x:c r="M334" s="43"/>
      <x:c r="N334" s="43"/>
      <x:c r="O334" s="43"/>
      <x:c r="P334" s="58" t="str">
        <x:f>IF(N334="","","Estantería "&amp;N334&amp;IF(O334="",""," - Balda "&amp;N334&amp;O334))</x:f>
      </x:c>
      <x:c r="Q334" s="37"/>
      <x:c r="R334" s="37"/>
      <x:c r="S334" s="49"/>
      <x:c r="T334" s="37"/>
      <x:c r="U334" s="37"/>
      <x:c r="V334" s="37"/>
      <x:c r="W334" s="34"/>
      <x:c r="X334" s="52"/>
      <x:c r="Y334" s="61" t="str">
        <x:f>IF(A334="","",IF(COUNTIF($A$6:$A$605,A334)&gt;1,"DUPLICADO","OK"))</x:f>
      </x:c>
      <x:c r="Z334" s="61" t="str">
        <x:f>IF(A334="","",IF(C334="","FALTA TÍTULO",IF(E334="","FALTA ÁREA",IF(W334&lt;&gt;"Sí","PENDIENTE","LISTO"))))</x:f>
      </x:c>
    </x:row>
    <x:row r="335">
      <x:c r="A335" s="40"/>
      <x:c r="B335" s="40"/>
      <x:c r="C335" s="37"/>
      <x:c r="D335" s="37"/>
      <x:c r="E335" s="37"/>
      <x:c r="F335" s="43"/>
      <x:c r="G335" s="43"/>
      <x:c r="H335" s="43"/>
      <x:c r="I335" s="55" t="str">
        <x:f>IF(OR(F335="",G335="",H335=""),"",F335&amp;" "&amp;UPPER(G335)&amp;"."&amp;LOWER(H335))</x:f>
      </x:c>
      <x:c r="J335" s="37"/>
      <x:c r="K335" s="37"/>
      <x:c r="L335" s="46"/>
      <x:c r="M335" s="43"/>
      <x:c r="N335" s="43"/>
      <x:c r="O335" s="43"/>
      <x:c r="P335" s="58" t="str">
        <x:f>IF(N335="","","Estantería "&amp;N335&amp;IF(O335="",""," - Balda "&amp;N335&amp;O335))</x:f>
      </x:c>
      <x:c r="Q335" s="37"/>
      <x:c r="R335" s="37"/>
      <x:c r="S335" s="49"/>
      <x:c r="T335" s="37"/>
      <x:c r="U335" s="37"/>
      <x:c r="V335" s="37"/>
      <x:c r="W335" s="34"/>
      <x:c r="X335" s="52"/>
      <x:c r="Y335" s="61" t="str">
        <x:f>IF(A335="","",IF(COUNTIF($A$6:$A$605,A335)&gt;1,"DUPLICADO","OK"))</x:f>
      </x:c>
      <x:c r="Z335" s="61" t="str">
        <x:f>IF(A335="","",IF(C335="","FALTA TÍTULO",IF(E335="","FALTA ÁREA",IF(W335&lt;&gt;"Sí","PENDIENTE","LISTO"))))</x:f>
      </x:c>
    </x:row>
    <x:row r="336">
      <x:c r="A336" s="40"/>
      <x:c r="B336" s="40"/>
      <x:c r="C336" s="37"/>
      <x:c r="D336" s="37"/>
      <x:c r="E336" s="37"/>
      <x:c r="F336" s="43"/>
      <x:c r="G336" s="43"/>
      <x:c r="H336" s="43"/>
      <x:c r="I336" s="55" t="str">
        <x:f>IF(OR(F336="",G336="",H336=""),"",F336&amp;" "&amp;UPPER(G336)&amp;"."&amp;LOWER(H336))</x:f>
      </x:c>
      <x:c r="J336" s="37"/>
      <x:c r="K336" s="37"/>
      <x:c r="L336" s="46"/>
      <x:c r="M336" s="43"/>
      <x:c r="N336" s="43"/>
      <x:c r="O336" s="43"/>
      <x:c r="P336" s="58" t="str">
        <x:f>IF(N336="","","Estantería "&amp;N336&amp;IF(O336="",""," - Balda "&amp;N336&amp;O336))</x:f>
      </x:c>
      <x:c r="Q336" s="37"/>
      <x:c r="R336" s="37"/>
      <x:c r="S336" s="49"/>
      <x:c r="T336" s="37"/>
      <x:c r="U336" s="37"/>
      <x:c r="V336" s="37"/>
      <x:c r="W336" s="34"/>
      <x:c r="X336" s="52"/>
      <x:c r="Y336" s="61" t="str">
        <x:f>IF(A336="","",IF(COUNTIF($A$6:$A$605,A336)&gt;1,"DUPLICADO","OK"))</x:f>
      </x:c>
      <x:c r="Z336" s="61" t="str">
        <x:f>IF(A336="","",IF(C336="","FALTA TÍTULO",IF(E336="","FALTA ÁREA",IF(W336&lt;&gt;"Sí","PENDIENTE","LISTO"))))</x:f>
      </x:c>
    </x:row>
    <x:row r="337">
      <x:c r="A337" s="40"/>
      <x:c r="B337" s="40"/>
      <x:c r="C337" s="37"/>
      <x:c r="D337" s="37"/>
      <x:c r="E337" s="37"/>
      <x:c r="F337" s="43"/>
      <x:c r="G337" s="43"/>
      <x:c r="H337" s="43"/>
      <x:c r="I337" s="55" t="str">
        <x:f>IF(OR(F337="",G337="",H337=""),"",F337&amp;" "&amp;UPPER(G337)&amp;"."&amp;LOWER(H337))</x:f>
      </x:c>
      <x:c r="J337" s="37"/>
      <x:c r="K337" s="37"/>
      <x:c r="L337" s="46"/>
      <x:c r="M337" s="43"/>
      <x:c r="N337" s="43"/>
      <x:c r="O337" s="43"/>
      <x:c r="P337" s="58" t="str">
        <x:f>IF(N337="","","Estantería "&amp;N337&amp;IF(O337="",""," - Balda "&amp;N337&amp;O337))</x:f>
      </x:c>
      <x:c r="Q337" s="37"/>
      <x:c r="R337" s="37"/>
      <x:c r="S337" s="49"/>
      <x:c r="T337" s="37"/>
      <x:c r="U337" s="37"/>
      <x:c r="V337" s="37"/>
      <x:c r="W337" s="34"/>
      <x:c r="X337" s="52"/>
      <x:c r="Y337" s="61" t="str">
        <x:f>IF(A337="","",IF(COUNTIF($A$6:$A$605,A337)&gt;1,"DUPLICADO","OK"))</x:f>
      </x:c>
      <x:c r="Z337" s="61" t="str">
        <x:f>IF(A337="","",IF(C337="","FALTA TÍTULO",IF(E337="","FALTA ÁREA",IF(W337&lt;&gt;"Sí","PENDIENTE","LISTO"))))</x:f>
      </x:c>
    </x:row>
    <x:row r="338">
      <x:c r="A338" s="40"/>
      <x:c r="B338" s="40"/>
      <x:c r="C338" s="37"/>
      <x:c r="D338" s="37"/>
      <x:c r="E338" s="37"/>
      <x:c r="F338" s="43"/>
      <x:c r="G338" s="43"/>
      <x:c r="H338" s="43"/>
      <x:c r="I338" s="55" t="str">
        <x:f>IF(OR(F338="",G338="",H338=""),"",F338&amp;" "&amp;UPPER(G338)&amp;"."&amp;LOWER(H338))</x:f>
      </x:c>
      <x:c r="J338" s="37"/>
      <x:c r="K338" s="37"/>
      <x:c r="L338" s="46"/>
      <x:c r="M338" s="43"/>
      <x:c r="N338" s="43"/>
      <x:c r="O338" s="43"/>
      <x:c r="P338" s="58" t="str">
        <x:f>IF(N338="","","Estantería "&amp;N338&amp;IF(O338="",""," - Balda "&amp;N338&amp;O338))</x:f>
      </x:c>
      <x:c r="Q338" s="37"/>
      <x:c r="R338" s="37"/>
      <x:c r="S338" s="49"/>
      <x:c r="T338" s="37"/>
      <x:c r="U338" s="37"/>
      <x:c r="V338" s="37"/>
      <x:c r="W338" s="34"/>
      <x:c r="X338" s="52"/>
      <x:c r="Y338" s="61" t="str">
        <x:f>IF(A338="","",IF(COUNTIF($A$6:$A$605,A338)&gt;1,"DUPLICADO","OK"))</x:f>
      </x:c>
      <x:c r="Z338" s="61" t="str">
        <x:f>IF(A338="","",IF(C338="","FALTA TÍTULO",IF(E338="","FALTA ÁREA",IF(W338&lt;&gt;"Sí","PENDIENTE","LISTO"))))</x:f>
      </x:c>
    </x:row>
    <x:row r="339">
      <x:c r="A339" s="40"/>
      <x:c r="B339" s="40"/>
      <x:c r="C339" s="37"/>
      <x:c r="D339" s="37"/>
      <x:c r="E339" s="37"/>
      <x:c r="F339" s="43"/>
      <x:c r="G339" s="43"/>
      <x:c r="H339" s="43"/>
      <x:c r="I339" s="55" t="str">
        <x:f>IF(OR(F339="",G339="",H339=""),"",F339&amp;" "&amp;UPPER(G339)&amp;"."&amp;LOWER(H339))</x:f>
      </x:c>
      <x:c r="J339" s="37"/>
      <x:c r="K339" s="37"/>
      <x:c r="L339" s="46"/>
      <x:c r="M339" s="43"/>
      <x:c r="N339" s="43"/>
      <x:c r="O339" s="43"/>
      <x:c r="P339" s="58" t="str">
        <x:f>IF(N339="","","Estantería "&amp;N339&amp;IF(O339="",""," - Balda "&amp;N339&amp;O339))</x:f>
      </x:c>
      <x:c r="Q339" s="37"/>
      <x:c r="R339" s="37"/>
      <x:c r="S339" s="49"/>
      <x:c r="T339" s="37"/>
      <x:c r="U339" s="37"/>
      <x:c r="V339" s="37"/>
      <x:c r="W339" s="34"/>
      <x:c r="X339" s="52"/>
      <x:c r="Y339" s="61" t="str">
        <x:f>IF(A339="","",IF(COUNTIF($A$6:$A$605,A339)&gt;1,"DUPLICADO","OK"))</x:f>
      </x:c>
      <x:c r="Z339" s="61" t="str">
        <x:f>IF(A339="","",IF(C339="","FALTA TÍTULO",IF(E339="","FALTA ÁREA",IF(W339&lt;&gt;"Sí","PENDIENTE","LISTO"))))</x:f>
      </x:c>
    </x:row>
    <x:row r="340">
      <x:c r="A340" s="40"/>
      <x:c r="B340" s="40"/>
      <x:c r="C340" s="37"/>
      <x:c r="D340" s="37"/>
      <x:c r="E340" s="37"/>
      <x:c r="F340" s="43"/>
      <x:c r="G340" s="43"/>
      <x:c r="H340" s="43"/>
      <x:c r="I340" s="55" t="str">
        <x:f>IF(OR(F340="",G340="",H340=""),"",F340&amp;" "&amp;UPPER(G340)&amp;"."&amp;LOWER(H340))</x:f>
      </x:c>
      <x:c r="J340" s="37"/>
      <x:c r="K340" s="37"/>
      <x:c r="L340" s="46"/>
      <x:c r="M340" s="43"/>
      <x:c r="N340" s="43"/>
      <x:c r="O340" s="43"/>
      <x:c r="P340" s="58" t="str">
        <x:f>IF(N340="","","Estantería "&amp;N340&amp;IF(O340="",""," - Balda "&amp;N340&amp;O340))</x:f>
      </x:c>
      <x:c r="Q340" s="37"/>
      <x:c r="R340" s="37"/>
      <x:c r="S340" s="49"/>
      <x:c r="T340" s="37"/>
      <x:c r="U340" s="37"/>
      <x:c r="V340" s="37"/>
      <x:c r="W340" s="34"/>
      <x:c r="X340" s="52"/>
      <x:c r="Y340" s="61" t="str">
        <x:f>IF(A340="","",IF(COUNTIF($A$6:$A$605,A340)&gt;1,"DUPLICADO","OK"))</x:f>
      </x:c>
      <x:c r="Z340" s="61" t="str">
        <x:f>IF(A340="","",IF(C340="","FALTA TÍTULO",IF(E340="","FALTA ÁREA",IF(W340&lt;&gt;"Sí","PENDIENTE","LISTO"))))</x:f>
      </x:c>
    </x:row>
    <x:row r="341">
      <x:c r="A341" s="40"/>
      <x:c r="B341" s="40"/>
      <x:c r="C341" s="37"/>
      <x:c r="D341" s="37"/>
      <x:c r="E341" s="37"/>
      <x:c r="F341" s="43"/>
      <x:c r="G341" s="43"/>
      <x:c r="H341" s="43"/>
      <x:c r="I341" s="55" t="str">
        <x:f>IF(OR(F341="",G341="",H341=""),"",F341&amp;" "&amp;UPPER(G341)&amp;"."&amp;LOWER(H341))</x:f>
      </x:c>
      <x:c r="J341" s="37"/>
      <x:c r="K341" s="37"/>
      <x:c r="L341" s="46"/>
      <x:c r="M341" s="43"/>
      <x:c r="N341" s="43"/>
      <x:c r="O341" s="43"/>
      <x:c r="P341" s="58" t="str">
        <x:f>IF(N341="","","Estantería "&amp;N341&amp;IF(O341="",""," - Balda "&amp;N341&amp;O341))</x:f>
      </x:c>
      <x:c r="Q341" s="37"/>
      <x:c r="R341" s="37"/>
      <x:c r="S341" s="49"/>
      <x:c r="T341" s="37"/>
      <x:c r="U341" s="37"/>
      <x:c r="V341" s="37"/>
      <x:c r="W341" s="34"/>
      <x:c r="X341" s="52"/>
      <x:c r="Y341" s="61" t="str">
        <x:f>IF(A341="","",IF(COUNTIF($A$6:$A$605,A341)&gt;1,"DUPLICADO","OK"))</x:f>
      </x:c>
      <x:c r="Z341" s="61" t="str">
        <x:f>IF(A341="","",IF(C341="","FALTA TÍTULO",IF(E341="","FALTA ÁREA",IF(W341&lt;&gt;"Sí","PENDIENTE","LISTO"))))</x:f>
      </x:c>
    </x:row>
    <x:row r="342">
      <x:c r="A342" s="40"/>
      <x:c r="B342" s="40"/>
      <x:c r="C342" s="37"/>
      <x:c r="D342" s="37"/>
      <x:c r="E342" s="37"/>
      <x:c r="F342" s="43"/>
      <x:c r="G342" s="43"/>
      <x:c r="H342" s="43"/>
      <x:c r="I342" s="55" t="str">
        <x:f>IF(OR(F342="",G342="",H342=""),"",F342&amp;" "&amp;UPPER(G342)&amp;"."&amp;LOWER(H342))</x:f>
      </x:c>
      <x:c r="J342" s="37"/>
      <x:c r="K342" s="37"/>
      <x:c r="L342" s="46"/>
      <x:c r="M342" s="43"/>
      <x:c r="N342" s="43"/>
      <x:c r="O342" s="43"/>
      <x:c r="P342" s="58" t="str">
        <x:f>IF(N342="","","Estantería "&amp;N342&amp;IF(O342="",""," - Balda "&amp;N342&amp;O342))</x:f>
      </x:c>
      <x:c r="Q342" s="37"/>
      <x:c r="R342" s="37"/>
      <x:c r="S342" s="49"/>
      <x:c r="T342" s="37"/>
      <x:c r="U342" s="37"/>
      <x:c r="V342" s="37"/>
      <x:c r="W342" s="34"/>
      <x:c r="X342" s="52"/>
      <x:c r="Y342" s="61" t="str">
        <x:f>IF(A342="","",IF(COUNTIF($A$6:$A$605,A342)&gt;1,"DUPLICADO","OK"))</x:f>
      </x:c>
      <x:c r="Z342" s="61" t="str">
        <x:f>IF(A342="","",IF(C342="","FALTA TÍTULO",IF(E342="","FALTA ÁREA",IF(W342&lt;&gt;"Sí","PENDIENTE","LISTO"))))</x:f>
      </x:c>
    </x:row>
    <x:row r="343">
      <x:c r="A343" s="40"/>
      <x:c r="B343" s="40"/>
      <x:c r="C343" s="37"/>
      <x:c r="D343" s="37"/>
      <x:c r="E343" s="37"/>
      <x:c r="F343" s="43"/>
      <x:c r="G343" s="43"/>
      <x:c r="H343" s="43"/>
      <x:c r="I343" s="55" t="str">
        <x:f>IF(OR(F343="",G343="",H343=""),"",F343&amp;" "&amp;UPPER(G343)&amp;"."&amp;LOWER(H343))</x:f>
      </x:c>
      <x:c r="J343" s="37"/>
      <x:c r="K343" s="37"/>
      <x:c r="L343" s="46"/>
      <x:c r="M343" s="43"/>
      <x:c r="N343" s="43"/>
      <x:c r="O343" s="43"/>
      <x:c r="P343" s="58" t="str">
        <x:f>IF(N343="","","Estantería "&amp;N343&amp;IF(O343="",""," - Balda "&amp;N343&amp;O343))</x:f>
      </x:c>
      <x:c r="Q343" s="37"/>
      <x:c r="R343" s="37"/>
      <x:c r="S343" s="49"/>
      <x:c r="T343" s="37"/>
      <x:c r="U343" s="37"/>
      <x:c r="V343" s="37"/>
      <x:c r="W343" s="34"/>
      <x:c r="X343" s="52"/>
      <x:c r="Y343" s="61" t="str">
        <x:f>IF(A343="","",IF(COUNTIF($A$6:$A$605,A343)&gt;1,"DUPLICADO","OK"))</x:f>
      </x:c>
      <x:c r="Z343" s="61" t="str">
        <x:f>IF(A343="","",IF(C343="","FALTA TÍTULO",IF(E343="","FALTA ÁREA",IF(W343&lt;&gt;"Sí","PENDIENTE","LISTO"))))</x:f>
      </x:c>
    </x:row>
    <x:row r="344">
      <x:c r="A344" s="40"/>
      <x:c r="B344" s="40"/>
      <x:c r="C344" s="37"/>
      <x:c r="D344" s="37"/>
      <x:c r="E344" s="37"/>
      <x:c r="F344" s="43"/>
      <x:c r="G344" s="43"/>
      <x:c r="H344" s="43"/>
      <x:c r="I344" s="55" t="str">
        <x:f>IF(OR(F344="",G344="",H344=""),"",F344&amp;" "&amp;UPPER(G344)&amp;"."&amp;LOWER(H344))</x:f>
      </x:c>
      <x:c r="J344" s="37"/>
      <x:c r="K344" s="37"/>
      <x:c r="L344" s="46"/>
      <x:c r="M344" s="43"/>
      <x:c r="N344" s="43"/>
      <x:c r="O344" s="43"/>
      <x:c r="P344" s="58" t="str">
        <x:f>IF(N344="","","Estantería "&amp;N344&amp;IF(O344="",""," - Balda "&amp;N344&amp;O344))</x:f>
      </x:c>
      <x:c r="Q344" s="37"/>
      <x:c r="R344" s="37"/>
      <x:c r="S344" s="49"/>
      <x:c r="T344" s="37"/>
      <x:c r="U344" s="37"/>
      <x:c r="V344" s="37"/>
      <x:c r="W344" s="34"/>
      <x:c r="X344" s="52"/>
      <x:c r="Y344" s="61" t="str">
        <x:f>IF(A344="","",IF(COUNTIF($A$6:$A$605,A344)&gt;1,"DUPLICADO","OK"))</x:f>
      </x:c>
      <x:c r="Z344" s="61" t="str">
        <x:f>IF(A344="","",IF(C344="","FALTA TÍTULO",IF(E344="","FALTA ÁREA",IF(W344&lt;&gt;"Sí","PENDIENTE","LISTO"))))</x:f>
      </x:c>
    </x:row>
    <x:row r="345">
      <x:c r="A345" s="40"/>
      <x:c r="B345" s="40"/>
      <x:c r="C345" s="37"/>
      <x:c r="D345" s="37"/>
      <x:c r="E345" s="37"/>
      <x:c r="F345" s="43"/>
      <x:c r="G345" s="43"/>
      <x:c r="H345" s="43"/>
      <x:c r="I345" s="55" t="str">
        <x:f>IF(OR(F345="",G345="",H345=""),"",F345&amp;" "&amp;UPPER(G345)&amp;"."&amp;LOWER(H345))</x:f>
      </x:c>
      <x:c r="J345" s="37"/>
      <x:c r="K345" s="37"/>
      <x:c r="L345" s="46"/>
      <x:c r="M345" s="43"/>
      <x:c r="N345" s="43"/>
      <x:c r="O345" s="43"/>
      <x:c r="P345" s="58" t="str">
        <x:f>IF(N345="","","Estantería "&amp;N345&amp;IF(O345="",""," - Balda "&amp;N345&amp;O345))</x:f>
      </x:c>
      <x:c r="Q345" s="37"/>
      <x:c r="R345" s="37"/>
      <x:c r="S345" s="49"/>
      <x:c r="T345" s="37"/>
      <x:c r="U345" s="37"/>
      <x:c r="V345" s="37"/>
      <x:c r="W345" s="34"/>
      <x:c r="X345" s="52"/>
      <x:c r="Y345" s="61" t="str">
        <x:f>IF(A345="","",IF(COUNTIF($A$6:$A$605,A345)&gt;1,"DUPLICADO","OK"))</x:f>
      </x:c>
      <x:c r="Z345" s="61" t="str">
        <x:f>IF(A345="","",IF(C345="","FALTA TÍTULO",IF(E345="","FALTA ÁREA",IF(W345&lt;&gt;"Sí","PENDIENTE","LISTO"))))</x:f>
      </x:c>
    </x:row>
    <x:row r="346">
      <x:c r="A346" s="40"/>
      <x:c r="B346" s="40"/>
      <x:c r="C346" s="37"/>
      <x:c r="D346" s="37"/>
      <x:c r="E346" s="37"/>
      <x:c r="F346" s="43"/>
      <x:c r="G346" s="43"/>
      <x:c r="H346" s="43"/>
      <x:c r="I346" s="55" t="str">
        <x:f>IF(OR(F346="",G346="",H346=""),"",F346&amp;" "&amp;UPPER(G346)&amp;"."&amp;LOWER(H346))</x:f>
      </x:c>
      <x:c r="J346" s="37"/>
      <x:c r="K346" s="37"/>
      <x:c r="L346" s="46"/>
      <x:c r="M346" s="43"/>
      <x:c r="N346" s="43"/>
      <x:c r="O346" s="43"/>
      <x:c r="P346" s="58" t="str">
        <x:f>IF(N346="","","Estantería "&amp;N346&amp;IF(O346="",""," - Balda "&amp;N346&amp;O346))</x:f>
      </x:c>
      <x:c r="Q346" s="37"/>
      <x:c r="R346" s="37"/>
      <x:c r="S346" s="49"/>
      <x:c r="T346" s="37"/>
      <x:c r="U346" s="37"/>
      <x:c r="V346" s="37"/>
      <x:c r="W346" s="34"/>
      <x:c r="X346" s="52"/>
      <x:c r="Y346" s="61" t="str">
        <x:f>IF(A346="","",IF(COUNTIF($A$6:$A$605,A346)&gt;1,"DUPLICADO","OK"))</x:f>
      </x:c>
      <x:c r="Z346" s="61" t="str">
        <x:f>IF(A346="","",IF(C346="","FALTA TÍTULO",IF(E346="","FALTA ÁREA",IF(W346&lt;&gt;"Sí","PENDIENTE","LISTO"))))</x:f>
      </x:c>
    </x:row>
    <x:row r="347">
      <x:c r="A347" s="40"/>
      <x:c r="B347" s="40"/>
      <x:c r="C347" s="37"/>
      <x:c r="D347" s="37"/>
      <x:c r="E347" s="37"/>
      <x:c r="F347" s="43"/>
      <x:c r="G347" s="43"/>
      <x:c r="H347" s="43"/>
      <x:c r="I347" s="55" t="str">
        <x:f>IF(OR(F347="",G347="",H347=""),"",F347&amp;" "&amp;UPPER(G347)&amp;"."&amp;LOWER(H347))</x:f>
      </x:c>
      <x:c r="J347" s="37"/>
      <x:c r="K347" s="37"/>
      <x:c r="L347" s="46"/>
      <x:c r="M347" s="43"/>
      <x:c r="N347" s="43"/>
      <x:c r="O347" s="43"/>
      <x:c r="P347" s="58" t="str">
        <x:f>IF(N347="","","Estantería "&amp;N347&amp;IF(O347="",""," - Balda "&amp;N347&amp;O347))</x:f>
      </x:c>
      <x:c r="Q347" s="37"/>
      <x:c r="R347" s="37"/>
      <x:c r="S347" s="49"/>
      <x:c r="T347" s="37"/>
      <x:c r="U347" s="37"/>
      <x:c r="V347" s="37"/>
      <x:c r="W347" s="34"/>
      <x:c r="X347" s="52"/>
      <x:c r="Y347" s="61" t="str">
        <x:f>IF(A347="","",IF(COUNTIF($A$6:$A$605,A347)&gt;1,"DUPLICADO","OK"))</x:f>
      </x:c>
      <x:c r="Z347" s="61" t="str">
        <x:f>IF(A347="","",IF(C347="","FALTA TÍTULO",IF(E347="","FALTA ÁREA",IF(W347&lt;&gt;"Sí","PENDIENTE","LISTO"))))</x:f>
      </x:c>
    </x:row>
    <x:row r="348">
      <x:c r="A348" s="40"/>
      <x:c r="B348" s="40"/>
      <x:c r="C348" s="37"/>
      <x:c r="D348" s="37"/>
      <x:c r="E348" s="37"/>
      <x:c r="F348" s="43"/>
      <x:c r="G348" s="43"/>
      <x:c r="H348" s="43"/>
      <x:c r="I348" s="55" t="str">
        <x:f>IF(OR(F348="",G348="",H348=""),"",F348&amp;" "&amp;UPPER(G348)&amp;"."&amp;LOWER(H348))</x:f>
      </x:c>
      <x:c r="J348" s="37"/>
      <x:c r="K348" s="37"/>
      <x:c r="L348" s="46"/>
      <x:c r="M348" s="43"/>
      <x:c r="N348" s="43"/>
      <x:c r="O348" s="43"/>
      <x:c r="P348" s="58" t="str">
        <x:f>IF(N348="","","Estantería "&amp;N348&amp;IF(O348="",""," - Balda "&amp;N348&amp;O348))</x:f>
      </x:c>
      <x:c r="Q348" s="37"/>
      <x:c r="R348" s="37"/>
      <x:c r="S348" s="49"/>
      <x:c r="T348" s="37"/>
      <x:c r="U348" s="37"/>
      <x:c r="V348" s="37"/>
      <x:c r="W348" s="34"/>
      <x:c r="X348" s="52"/>
      <x:c r="Y348" s="61" t="str">
        <x:f>IF(A348="","",IF(COUNTIF($A$6:$A$605,A348)&gt;1,"DUPLICADO","OK"))</x:f>
      </x:c>
      <x:c r="Z348" s="61" t="str">
        <x:f>IF(A348="","",IF(C348="","FALTA TÍTULO",IF(E348="","FALTA ÁREA",IF(W348&lt;&gt;"Sí","PENDIENTE","LISTO"))))</x:f>
      </x:c>
    </x:row>
    <x:row r="349">
      <x:c r="A349" s="40"/>
      <x:c r="B349" s="40"/>
      <x:c r="C349" s="37"/>
      <x:c r="D349" s="37"/>
      <x:c r="E349" s="37"/>
      <x:c r="F349" s="43"/>
      <x:c r="G349" s="43"/>
      <x:c r="H349" s="43"/>
      <x:c r="I349" s="55" t="str">
        <x:f>IF(OR(F349="",G349="",H349=""),"",F349&amp;" "&amp;UPPER(G349)&amp;"."&amp;LOWER(H349))</x:f>
      </x:c>
      <x:c r="J349" s="37"/>
      <x:c r="K349" s="37"/>
      <x:c r="L349" s="46"/>
      <x:c r="M349" s="43"/>
      <x:c r="N349" s="43"/>
      <x:c r="O349" s="43"/>
      <x:c r="P349" s="58" t="str">
        <x:f>IF(N349="","","Estantería "&amp;N349&amp;IF(O349="",""," - Balda "&amp;N349&amp;O349))</x:f>
      </x:c>
      <x:c r="Q349" s="37"/>
      <x:c r="R349" s="37"/>
      <x:c r="S349" s="49"/>
      <x:c r="T349" s="37"/>
      <x:c r="U349" s="37"/>
      <x:c r="V349" s="37"/>
      <x:c r="W349" s="34"/>
      <x:c r="X349" s="52"/>
      <x:c r="Y349" s="61" t="str">
        <x:f>IF(A349="","",IF(COUNTIF($A$6:$A$605,A349)&gt;1,"DUPLICADO","OK"))</x:f>
      </x:c>
      <x:c r="Z349" s="61" t="str">
        <x:f>IF(A349="","",IF(C349="","FALTA TÍTULO",IF(E349="","FALTA ÁREA",IF(W349&lt;&gt;"Sí","PENDIENTE","LISTO"))))</x:f>
      </x:c>
    </x:row>
    <x:row r="350">
      <x:c r="A350" s="40"/>
      <x:c r="B350" s="40"/>
      <x:c r="C350" s="37"/>
      <x:c r="D350" s="37"/>
      <x:c r="E350" s="37"/>
      <x:c r="F350" s="43"/>
      <x:c r="G350" s="43"/>
      <x:c r="H350" s="43"/>
      <x:c r="I350" s="55" t="str">
        <x:f>IF(OR(F350="",G350="",H350=""),"",F350&amp;" "&amp;UPPER(G350)&amp;"."&amp;LOWER(H350))</x:f>
      </x:c>
      <x:c r="J350" s="37"/>
      <x:c r="K350" s="37"/>
      <x:c r="L350" s="46"/>
      <x:c r="M350" s="43"/>
      <x:c r="N350" s="43"/>
      <x:c r="O350" s="43"/>
      <x:c r="P350" s="58" t="str">
        <x:f>IF(N350="","","Estantería "&amp;N350&amp;IF(O350="",""," - Balda "&amp;N350&amp;O350))</x:f>
      </x:c>
      <x:c r="Q350" s="37"/>
      <x:c r="R350" s="37"/>
      <x:c r="S350" s="49"/>
      <x:c r="T350" s="37"/>
      <x:c r="U350" s="37"/>
      <x:c r="V350" s="37"/>
      <x:c r="W350" s="34"/>
      <x:c r="X350" s="52"/>
      <x:c r="Y350" s="61" t="str">
        <x:f>IF(A350="","",IF(COUNTIF($A$6:$A$605,A350)&gt;1,"DUPLICADO","OK"))</x:f>
      </x:c>
      <x:c r="Z350" s="61" t="str">
        <x:f>IF(A350="","",IF(C350="","FALTA TÍTULO",IF(E350="","FALTA ÁREA",IF(W350&lt;&gt;"Sí","PENDIENTE","LISTO"))))</x:f>
      </x:c>
    </x:row>
    <x:row r="351">
      <x:c r="A351" s="40"/>
      <x:c r="B351" s="40"/>
      <x:c r="C351" s="37"/>
      <x:c r="D351" s="37"/>
      <x:c r="E351" s="37"/>
      <x:c r="F351" s="43"/>
      <x:c r="G351" s="43"/>
      <x:c r="H351" s="43"/>
      <x:c r="I351" s="55" t="str">
        <x:f>IF(OR(F351="",G351="",H351=""),"",F351&amp;" "&amp;UPPER(G351)&amp;"."&amp;LOWER(H351))</x:f>
      </x:c>
      <x:c r="J351" s="37"/>
      <x:c r="K351" s="37"/>
      <x:c r="L351" s="46"/>
      <x:c r="M351" s="43"/>
      <x:c r="N351" s="43"/>
      <x:c r="O351" s="43"/>
      <x:c r="P351" s="58" t="str">
        <x:f>IF(N351="","","Estantería "&amp;N351&amp;IF(O351="",""," - Balda "&amp;N351&amp;O351))</x:f>
      </x:c>
      <x:c r="Q351" s="37"/>
      <x:c r="R351" s="37"/>
      <x:c r="S351" s="49"/>
      <x:c r="T351" s="37"/>
      <x:c r="U351" s="37"/>
      <x:c r="V351" s="37"/>
      <x:c r="W351" s="34"/>
      <x:c r="X351" s="52"/>
      <x:c r="Y351" s="61" t="str">
        <x:f>IF(A351="","",IF(COUNTIF($A$6:$A$605,A351)&gt;1,"DUPLICADO","OK"))</x:f>
      </x:c>
      <x:c r="Z351" s="61" t="str">
        <x:f>IF(A351="","",IF(C351="","FALTA TÍTULO",IF(E351="","FALTA ÁREA",IF(W351&lt;&gt;"Sí","PENDIENTE","LISTO"))))</x:f>
      </x:c>
    </x:row>
    <x:row r="352">
      <x:c r="A352" s="40"/>
      <x:c r="B352" s="40"/>
      <x:c r="C352" s="37"/>
      <x:c r="D352" s="37"/>
      <x:c r="E352" s="37"/>
      <x:c r="F352" s="43"/>
      <x:c r="G352" s="43"/>
      <x:c r="H352" s="43"/>
      <x:c r="I352" s="55" t="str">
        <x:f>IF(OR(F352="",G352="",H352=""),"",F352&amp;" "&amp;UPPER(G352)&amp;"."&amp;LOWER(H352))</x:f>
      </x:c>
      <x:c r="J352" s="37"/>
      <x:c r="K352" s="37"/>
      <x:c r="L352" s="46"/>
      <x:c r="M352" s="43"/>
      <x:c r="N352" s="43"/>
      <x:c r="O352" s="43"/>
      <x:c r="P352" s="58" t="str">
        <x:f>IF(N352="","","Estantería "&amp;N352&amp;IF(O352="",""," - Balda "&amp;N352&amp;O352))</x:f>
      </x:c>
      <x:c r="Q352" s="37"/>
      <x:c r="R352" s="37"/>
      <x:c r="S352" s="49"/>
      <x:c r="T352" s="37"/>
      <x:c r="U352" s="37"/>
      <x:c r="V352" s="37"/>
      <x:c r="W352" s="34"/>
      <x:c r="X352" s="52"/>
      <x:c r="Y352" s="61" t="str">
        <x:f>IF(A352="","",IF(COUNTIF($A$6:$A$605,A352)&gt;1,"DUPLICADO","OK"))</x:f>
      </x:c>
      <x:c r="Z352" s="61" t="str">
        <x:f>IF(A352="","",IF(C352="","FALTA TÍTULO",IF(E352="","FALTA ÁREA",IF(W352&lt;&gt;"Sí","PENDIENTE","LISTO"))))</x:f>
      </x:c>
    </x:row>
    <x:row r="353">
      <x:c r="A353" s="40"/>
      <x:c r="B353" s="40"/>
      <x:c r="C353" s="37"/>
      <x:c r="D353" s="37"/>
      <x:c r="E353" s="37"/>
      <x:c r="F353" s="43"/>
      <x:c r="G353" s="43"/>
      <x:c r="H353" s="43"/>
      <x:c r="I353" s="55" t="str">
        <x:f>IF(OR(F353="",G353="",H353=""),"",F353&amp;" "&amp;UPPER(G353)&amp;"."&amp;LOWER(H353))</x:f>
      </x:c>
      <x:c r="J353" s="37"/>
      <x:c r="K353" s="37"/>
      <x:c r="L353" s="46"/>
      <x:c r="M353" s="43"/>
      <x:c r="N353" s="43"/>
      <x:c r="O353" s="43"/>
      <x:c r="P353" s="58" t="str">
        <x:f>IF(N353="","","Estantería "&amp;N353&amp;IF(O353="",""," - Balda "&amp;N353&amp;O353))</x:f>
      </x:c>
      <x:c r="Q353" s="37"/>
      <x:c r="R353" s="37"/>
      <x:c r="S353" s="49"/>
      <x:c r="T353" s="37"/>
      <x:c r="U353" s="37"/>
      <x:c r="V353" s="37"/>
      <x:c r="W353" s="34"/>
      <x:c r="X353" s="52"/>
      <x:c r="Y353" s="61" t="str">
        <x:f>IF(A353="","",IF(COUNTIF($A$6:$A$605,A353)&gt;1,"DUPLICADO","OK"))</x:f>
      </x:c>
      <x:c r="Z353" s="61" t="str">
        <x:f>IF(A353="","",IF(C353="","FALTA TÍTULO",IF(E353="","FALTA ÁREA",IF(W353&lt;&gt;"Sí","PENDIENTE","LISTO"))))</x:f>
      </x:c>
    </x:row>
    <x:row r="354">
      <x:c r="A354" s="40"/>
      <x:c r="B354" s="40"/>
      <x:c r="C354" s="37"/>
      <x:c r="D354" s="37"/>
      <x:c r="E354" s="37"/>
      <x:c r="F354" s="43"/>
      <x:c r="G354" s="43"/>
      <x:c r="H354" s="43"/>
      <x:c r="I354" s="55" t="str">
        <x:f>IF(OR(F354="",G354="",H354=""),"",F354&amp;" "&amp;UPPER(G354)&amp;"."&amp;LOWER(H354))</x:f>
      </x:c>
      <x:c r="J354" s="37"/>
      <x:c r="K354" s="37"/>
      <x:c r="L354" s="46"/>
      <x:c r="M354" s="43"/>
      <x:c r="N354" s="43"/>
      <x:c r="O354" s="43"/>
      <x:c r="P354" s="58" t="str">
        <x:f>IF(N354="","","Estantería "&amp;N354&amp;IF(O354="",""," - Balda "&amp;N354&amp;O354))</x:f>
      </x:c>
      <x:c r="Q354" s="37"/>
      <x:c r="R354" s="37"/>
      <x:c r="S354" s="49"/>
      <x:c r="T354" s="37"/>
      <x:c r="U354" s="37"/>
      <x:c r="V354" s="37"/>
      <x:c r="W354" s="34"/>
      <x:c r="X354" s="52"/>
      <x:c r="Y354" s="61" t="str">
        <x:f>IF(A354="","",IF(COUNTIF($A$6:$A$605,A354)&gt;1,"DUPLICADO","OK"))</x:f>
      </x:c>
      <x:c r="Z354" s="61" t="str">
        <x:f>IF(A354="","",IF(C354="","FALTA TÍTULO",IF(E354="","FALTA ÁREA",IF(W354&lt;&gt;"Sí","PENDIENTE","LISTO"))))</x:f>
      </x:c>
    </x:row>
    <x:row r="355">
      <x:c r="A355" s="40"/>
      <x:c r="B355" s="40"/>
      <x:c r="C355" s="37"/>
      <x:c r="D355" s="37"/>
      <x:c r="E355" s="37"/>
      <x:c r="F355" s="43"/>
      <x:c r="G355" s="43"/>
      <x:c r="H355" s="43"/>
      <x:c r="I355" s="55" t="str">
        <x:f>IF(OR(F355="",G355="",H355=""),"",F355&amp;" "&amp;UPPER(G355)&amp;"."&amp;LOWER(H355))</x:f>
      </x:c>
      <x:c r="J355" s="37"/>
      <x:c r="K355" s="37"/>
      <x:c r="L355" s="46"/>
      <x:c r="M355" s="43"/>
      <x:c r="N355" s="43"/>
      <x:c r="O355" s="43"/>
      <x:c r="P355" s="58" t="str">
        <x:f>IF(N355="","","Estantería "&amp;N355&amp;IF(O355="",""," - Balda "&amp;N355&amp;O355))</x:f>
      </x:c>
      <x:c r="Q355" s="37"/>
      <x:c r="R355" s="37"/>
      <x:c r="S355" s="49"/>
      <x:c r="T355" s="37"/>
      <x:c r="U355" s="37"/>
      <x:c r="V355" s="37"/>
      <x:c r="W355" s="34"/>
      <x:c r="X355" s="52"/>
      <x:c r="Y355" s="61" t="str">
        <x:f>IF(A355="","",IF(COUNTIF($A$6:$A$605,A355)&gt;1,"DUPLICADO","OK"))</x:f>
      </x:c>
      <x:c r="Z355" s="61" t="str">
        <x:f>IF(A355="","",IF(C355="","FALTA TÍTULO",IF(E355="","FALTA ÁREA",IF(W355&lt;&gt;"Sí","PENDIENTE","LISTO"))))</x:f>
      </x:c>
    </x:row>
    <x:row r="356">
      <x:c r="A356" s="40"/>
      <x:c r="B356" s="40"/>
      <x:c r="C356" s="37"/>
      <x:c r="D356" s="37"/>
      <x:c r="E356" s="37"/>
      <x:c r="F356" s="43"/>
      <x:c r="G356" s="43"/>
      <x:c r="H356" s="43"/>
      <x:c r="I356" s="55" t="str">
        <x:f>IF(OR(F356="",G356="",H356=""),"",F356&amp;" "&amp;UPPER(G356)&amp;"."&amp;LOWER(H356))</x:f>
      </x:c>
      <x:c r="J356" s="37"/>
      <x:c r="K356" s="37"/>
      <x:c r="L356" s="46"/>
      <x:c r="M356" s="43"/>
      <x:c r="N356" s="43"/>
      <x:c r="O356" s="43"/>
      <x:c r="P356" s="58" t="str">
        <x:f>IF(N356="","","Estantería "&amp;N356&amp;IF(O356="",""," - Balda "&amp;N356&amp;O356))</x:f>
      </x:c>
      <x:c r="Q356" s="37"/>
      <x:c r="R356" s="37"/>
      <x:c r="S356" s="49"/>
      <x:c r="T356" s="37"/>
      <x:c r="U356" s="37"/>
      <x:c r="V356" s="37"/>
      <x:c r="W356" s="34"/>
      <x:c r="X356" s="52"/>
      <x:c r="Y356" s="61" t="str">
        <x:f>IF(A356="","",IF(COUNTIF($A$6:$A$605,A356)&gt;1,"DUPLICADO","OK"))</x:f>
      </x:c>
      <x:c r="Z356" s="61" t="str">
        <x:f>IF(A356="","",IF(C356="","FALTA TÍTULO",IF(E356="","FALTA ÁREA",IF(W356&lt;&gt;"Sí","PENDIENTE","LISTO"))))</x:f>
      </x:c>
    </x:row>
    <x:row r="357">
      <x:c r="A357" s="40"/>
      <x:c r="B357" s="40"/>
      <x:c r="C357" s="37"/>
      <x:c r="D357" s="37"/>
      <x:c r="E357" s="37"/>
      <x:c r="F357" s="43"/>
      <x:c r="G357" s="43"/>
      <x:c r="H357" s="43"/>
      <x:c r="I357" s="55" t="str">
        <x:f>IF(OR(F357="",G357="",H357=""),"",F357&amp;" "&amp;UPPER(G357)&amp;"."&amp;LOWER(H357))</x:f>
      </x:c>
      <x:c r="J357" s="37"/>
      <x:c r="K357" s="37"/>
      <x:c r="L357" s="46"/>
      <x:c r="M357" s="43"/>
      <x:c r="N357" s="43"/>
      <x:c r="O357" s="43"/>
      <x:c r="P357" s="58" t="str">
        <x:f>IF(N357="","","Estantería "&amp;N357&amp;IF(O357="",""," - Balda "&amp;N357&amp;O357))</x:f>
      </x:c>
      <x:c r="Q357" s="37"/>
      <x:c r="R357" s="37"/>
      <x:c r="S357" s="49"/>
      <x:c r="T357" s="37"/>
      <x:c r="U357" s="37"/>
      <x:c r="V357" s="37"/>
      <x:c r="W357" s="34"/>
      <x:c r="X357" s="52"/>
      <x:c r="Y357" s="61" t="str">
        <x:f>IF(A357="","",IF(COUNTIF($A$6:$A$605,A357)&gt;1,"DUPLICADO","OK"))</x:f>
      </x:c>
      <x:c r="Z357" s="61" t="str">
        <x:f>IF(A357="","",IF(C357="","FALTA TÍTULO",IF(E357="","FALTA ÁREA",IF(W357&lt;&gt;"Sí","PENDIENTE","LISTO"))))</x:f>
      </x:c>
    </x:row>
    <x:row r="358">
      <x:c r="A358" s="40"/>
      <x:c r="B358" s="40"/>
      <x:c r="C358" s="37"/>
      <x:c r="D358" s="37"/>
      <x:c r="E358" s="37"/>
      <x:c r="F358" s="43"/>
      <x:c r="G358" s="43"/>
      <x:c r="H358" s="43"/>
      <x:c r="I358" s="55" t="str">
        <x:f>IF(OR(F358="",G358="",H358=""),"",F358&amp;" "&amp;UPPER(G358)&amp;"."&amp;LOWER(H358))</x:f>
      </x:c>
      <x:c r="J358" s="37"/>
      <x:c r="K358" s="37"/>
      <x:c r="L358" s="46"/>
      <x:c r="M358" s="43"/>
      <x:c r="N358" s="43"/>
      <x:c r="O358" s="43"/>
      <x:c r="P358" s="58" t="str">
        <x:f>IF(N358="","","Estantería "&amp;N358&amp;IF(O358="",""," - Balda "&amp;N358&amp;O358))</x:f>
      </x:c>
      <x:c r="Q358" s="37"/>
      <x:c r="R358" s="37"/>
      <x:c r="S358" s="49"/>
      <x:c r="T358" s="37"/>
      <x:c r="U358" s="37"/>
      <x:c r="V358" s="37"/>
      <x:c r="W358" s="34"/>
      <x:c r="X358" s="52"/>
      <x:c r="Y358" s="61" t="str">
        <x:f>IF(A358="","",IF(COUNTIF($A$6:$A$605,A358)&gt;1,"DUPLICADO","OK"))</x:f>
      </x:c>
      <x:c r="Z358" s="61" t="str">
        <x:f>IF(A358="","",IF(C358="","FALTA TÍTULO",IF(E358="","FALTA ÁREA",IF(W358&lt;&gt;"Sí","PENDIENTE","LISTO"))))</x:f>
      </x:c>
    </x:row>
    <x:row r="359">
      <x:c r="A359" s="40"/>
      <x:c r="B359" s="40"/>
      <x:c r="C359" s="37"/>
      <x:c r="D359" s="37"/>
      <x:c r="E359" s="37"/>
      <x:c r="F359" s="43"/>
      <x:c r="G359" s="43"/>
      <x:c r="H359" s="43"/>
      <x:c r="I359" s="55" t="str">
        <x:f>IF(OR(F359="",G359="",H359=""),"",F359&amp;" "&amp;UPPER(G359)&amp;"."&amp;LOWER(H359))</x:f>
      </x:c>
      <x:c r="J359" s="37"/>
      <x:c r="K359" s="37"/>
      <x:c r="L359" s="46"/>
      <x:c r="M359" s="43"/>
      <x:c r="N359" s="43"/>
      <x:c r="O359" s="43"/>
      <x:c r="P359" s="58" t="str">
        <x:f>IF(N359="","","Estantería "&amp;N359&amp;IF(O359="",""," - Balda "&amp;N359&amp;O359))</x:f>
      </x:c>
      <x:c r="Q359" s="37"/>
      <x:c r="R359" s="37"/>
      <x:c r="S359" s="49"/>
      <x:c r="T359" s="37"/>
      <x:c r="U359" s="37"/>
      <x:c r="V359" s="37"/>
      <x:c r="W359" s="34"/>
      <x:c r="X359" s="52"/>
      <x:c r="Y359" s="61" t="str">
        <x:f>IF(A359="","",IF(COUNTIF($A$6:$A$605,A359)&gt;1,"DUPLICADO","OK"))</x:f>
      </x:c>
      <x:c r="Z359" s="61" t="str">
        <x:f>IF(A359="","",IF(C359="","FALTA TÍTULO",IF(E359="","FALTA ÁREA",IF(W359&lt;&gt;"Sí","PENDIENTE","LISTO"))))</x:f>
      </x:c>
    </x:row>
    <x:row r="360">
      <x:c r="A360" s="40"/>
      <x:c r="B360" s="40"/>
      <x:c r="C360" s="37"/>
      <x:c r="D360" s="37"/>
      <x:c r="E360" s="37"/>
      <x:c r="F360" s="43"/>
      <x:c r="G360" s="43"/>
      <x:c r="H360" s="43"/>
      <x:c r="I360" s="55" t="str">
        <x:f>IF(OR(F360="",G360="",H360=""),"",F360&amp;" "&amp;UPPER(G360)&amp;"."&amp;LOWER(H360))</x:f>
      </x:c>
      <x:c r="J360" s="37"/>
      <x:c r="K360" s="37"/>
      <x:c r="L360" s="46"/>
      <x:c r="M360" s="43"/>
      <x:c r="N360" s="43"/>
      <x:c r="O360" s="43"/>
      <x:c r="P360" s="58" t="str">
        <x:f>IF(N360="","","Estantería "&amp;N360&amp;IF(O360="",""," - Balda "&amp;N360&amp;O360))</x:f>
      </x:c>
      <x:c r="Q360" s="37"/>
      <x:c r="R360" s="37"/>
      <x:c r="S360" s="49"/>
      <x:c r="T360" s="37"/>
      <x:c r="U360" s="37"/>
      <x:c r="V360" s="37"/>
      <x:c r="W360" s="34"/>
      <x:c r="X360" s="52"/>
      <x:c r="Y360" s="61" t="str">
        <x:f>IF(A360="","",IF(COUNTIF($A$6:$A$605,A360)&gt;1,"DUPLICADO","OK"))</x:f>
      </x:c>
      <x:c r="Z360" s="61" t="str">
        <x:f>IF(A360="","",IF(C360="","FALTA TÍTULO",IF(E360="","FALTA ÁREA",IF(W360&lt;&gt;"Sí","PENDIENTE","LISTO"))))</x:f>
      </x:c>
    </x:row>
    <x:row r="361">
      <x:c r="A361" s="40"/>
      <x:c r="B361" s="40"/>
      <x:c r="C361" s="37"/>
      <x:c r="D361" s="37"/>
      <x:c r="E361" s="37"/>
      <x:c r="F361" s="43"/>
      <x:c r="G361" s="43"/>
      <x:c r="H361" s="43"/>
      <x:c r="I361" s="55" t="str">
        <x:f>IF(OR(F361="",G361="",H361=""),"",F361&amp;" "&amp;UPPER(G361)&amp;"."&amp;LOWER(H361))</x:f>
      </x:c>
      <x:c r="J361" s="37"/>
      <x:c r="K361" s="37"/>
      <x:c r="L361" s="46"/>
      <x:c r="M361" s="43"/>
      <x:c r="N361" s="43"/>
      <x:c r="O361" s="43"/>
      <x:c r="P361" s="58" t="str">
        <x:f>IF(N361="","","Estantería "&amp;N361&amp;IF(O361="",""," - Balda "&amp;N361&amp;O361))</x:f>
      </x:c>
      <x:c r="Q361" s="37"/>
      <x:c r="R361" s="37"/>
      <x:c r="S361" s="49"/>
      <x:c r="T361" s="37"/>
      <x:c r="U361" s="37"/>
      <x:c r="V361" s="37"/>
      <x:c r="W361" s="34"/>
      <x:c r="X361" s="52"/>
      <x:c r="Y361" s="61" t="str">
        <x:f>IF(A361="","",IF(COUNTIF($A$6:$A$605,A361)&gt;1,"DUPLICADO","OK"))</x:f>
      </x:c>
      <x:c r="Z361" s="61" t="str">
        <x:f>IF(A361="","",IF(C361="","FALTA TÍTULO",IF(E361="","FALTA ÁREA",IF(W361&lt;&gt;"Sí","PENDIENTE","LISTO"))))</x:f>
      </x:c>
    </x:row>
    <x:row r="362">
      <x:c r="A362" s="40"/>
      <x:c r="B362" s="40"/>
      <x:c r="C362" s="37"/>
      <x:c r="D362" s="37"/>
      <x:c r="E362" s="37"/>
      <x:c r="F362" s="43"/>
      <x:c r="G362" s="43"/>
      <x:c r="H362" s="43"/>
      <x:c r="I362" s="55" t="str">
        <x:f>IF(OR(F362="",G362="",H362=""),"",F362&amp;" "&amp;UPPER(G362)&amp;"."&amp;LOWER(H362))</x:f>
      </x:c>
      <x:c r="J362" s="37"/>
      <x:c r="K362" s="37"/>
      <x:c r="L362" s="46"/>
      <x:c r="M362" s="43"/>
      <x:c r="N362" s="43"/>
      <x:c r="O362" s="43"/>
      <x:c r="P362" s="58" t="str">
        <x:f>IF(N362="","","Estantería "&amp;N362&amp;IF(O362="",""," - Balda "&amp;N362&amp;O362))</x:f>
      </x:c>
      <x:c r="Q362" s="37"/>
      <x:c r="R362" s="37"/>
      <x:c r="S362" s="49"/>
      <x:c r="T362" s="37"/>
      <x:c r="U362" s="37"/>
      <x:c r="V362" s="37"/>
      <x:c r="W362" s="34"/>
      <x:c r="X362" s="52"/>
      <x:c r="Y362" s="61" t="str">
        <x:f>IF(A362="","",IF(COUNTIF($A$6:$A$605,A362)&gt;1,"DUPLICADO","OK"))</x:f>
      </x:c>
      <x:c r="Z362" s="61" t="str">
        <x:f>IF(A362="","",IF(C362="","FALTA TÍTULO",IF(E362="","FALTA ÁREA",IF(W362&lt;&gt;"Sí","PENDIENTE","LISTO"))))</x:f>
      </x:c>
    </x:row>
    <x:row r="363">
      <x:c r="A363" s="40"/>
      <x:c r="B363" s="40"/>
      <x:c r="C363" s="37"/>
      <x:c r="D363" s="37"/>
      <x:c r="E363" s="37"/>
      <x:c r="F363" s="43"/>
      <x:c r="G363" s="43"/>
      <x:c r="H363" s="43"/>
      <x:c r="I363" s="55" t="str">
        <x:f>IF(OR(F363="",G363="",H363=""),"",F363&amp;" "&amp;UPPER(G363)&amp;"."&amp;LOWER(H363))</x:f>
      </x:c>
      <x:c r="J363" s="37"/>
      <x:c r="K363" s="37"/>
      <x:c r="L363" s="46"/>
      <x:c r="M363" s="43"/>
      <x:c r="N363" s="43"/>
      <x:c r="O363" s="43"/>
      <x:c r="P363" s="58" t="str">
        <x:f>IF(N363="","","Estantería "&amp;N363&amp;IF(O363="",""," - Balda "&amp;N363&amp;O363))</x:f>
      </x:c>
      <x:c r="Q363" s="37"/>
      <x:c r="R363" s="37"/>
      <x:c r="S363" s="49"/>
      <x:c r="T363" s="37"/>
      <x:c r="U363" s="37"/>
      <x:c r="V363" s="37"/>
      <x:c r="W363" s="34"/>
      <x:c r="X363" s="52"/>
      <x:c r="Y363" s="61" t="str">
        <x:f>IF(A363="","",IF(COUNTIF($A$6:$A$605,A363)&gt;1,"DUPLICADO","OK"))</x:f>
      </x:c>
      <x:c r="Z363" s="61" t="str">
        <x:f>IF(A363="","",IF(C363="","FALTA TÍTULO",IF(E363="","FALTA ÁREA",IF(W363&lt;&gt;"Sí","PENDIENTE","LISTO"))))</x:f>
      </x:c>
    </x:row>
    <x:row r="364">
      <x:c r="A364" s="40"/>
      <x:c r="B364" s="40"/>
      <x:c r="C364" s="37"/>
      <x:c r="D364" s="37"/>
      <x:c r="E364" s="37"/>
      <x:c r="F364" s="43"/>
      <x:c r="G364" s="43"/>
      <x:c r="H364" s="43"/>
      <x:c r="I364" s="55" t="str">
        <x:f>IF(OR(F364="",G364="",H364=""),"",F364&amp;" "&amp;UPPER(G364)&amp;"."&amp;LOWER(H364))</x:f>
      </x:c>
      <x:c r="J364" s="37"/>
      <x:c r="K364" s="37"/>
      <x:c r="L364" s="46"/>
      <x:c r="M364" s="43"/>
      <x:c r="N364" s="43"/>
      <x:c r="O364" s="43"/>
      <x:c r="P364" s="58" t="str">
        <x:f>IF(N364="","","Estantería "&amp;N364&amp;IF(O364="",""," - Balda "&amp;N364&amp;O364))</x:f>
      </x:c>
      <x:c r="Q364" s="37"/>
      <x:c r="R364" s="37"/>
      <x:c r="S364" s="49"/>
      <x:c r="T364" s="37"/>
      <x:c r="U364" s="37"/>
      <x:c r="V364" s="37"/>
      <x:c r="W364" s="34"/>
      <x:c r="X364" s="52"/>
      <x:c r="Y364" s="61" t="str">
        <x:f>IF(A364="","",IF(COUNTIF($A$6:$A$605,A364)&gt;1,"DUPLICADO","OK"))</x:f>
      </x:c>
      <x:c r="Z364" s="61" t="str">
        <x:f>IF(A364="","",IF(C364="","FALTA TÍTULO",IF(E364="","FALTA ÁREA",IF(W364&lt;&gt;"Sí","PENDIENTE","LISTO"))))</x:f>
      </x:c>
    </x:row>
    <x:row r="365">
      <x:c r="A365" s="40"/>
      <x:c r="B365" s="40"/>
      <x:c r="C365" s="37"/>
      <x:c r="D365" s="37"/>
      <x:c r="E365" s="37"/>
      <x:c r="F365" s="43"/>
      <x:c r="G365" s="43"/>
      <x:c r="H365" s="43"/>
      <x:c r="I365" s="55" t="str">
        <x:f>IF(OR(F365="",G365="",H365=""),"",F365&amp;" "&amp;UPPER(G365)&amp;"."&amp;LOWER(H365))</x:f>
      </x:c>
      <x:c r="J365" s="37"/>
      <x:c r="K365" s="37"/>
      <x:c r="L365" s="46"/>
      <x:c r="M365" s="43"/>
      <x:c r="N365" s="43"/>
      <x:c r="O365" s="43"/>
      <x:c r="P365" s="58" t="str">
        <x:f>IF(N365="","","Estantería "&amp;N365&amp;IF(O365="",""," - Balda "&amp;N365&amp;O365))</x:f>
      </x:c>
      <x:c r="Q365" s="37"/>
      <x:c r="R365" s="37"/>
      <x:c r="S365" s="49"/>
      <x:c r="T365" s="37"/>
      <x:c r="U365" s="37"/>
      <x:c r="V365" s="37"/>
      <x:c r="W365" s="34"/>
      <x:c r="X365" s="52"/>
      <x:c r="Y365" s="61" t="str">
        <x:f>IF(A365="","",IF(COUNTIF($A$6:$A$605,A365)&gt;1,"DUPLICADO","OK"))</x:f>
      </x:c>
      <x:c r="Z365" s="61" t="str">
        <x:f>IF(A365="","",IF(C365="","FALTA TÍTULO",IF(E365="","FALTA ÁREA",IF(W365&lt;&gt;"Sí","PENDIENTE","LISTO"))))</x:f>
      </x:c>
    </x:row>
    <x:row r="366">
      <x:c r="A366" s="40"/>
      <x:c r="B366" s="40"/>
      <x:c r="C366" s="37"/>
      <x:c r="D366" s="37"/>
      <x:c r="E366" s="37"/>
      <x:c r="F366" s="43"/>
      <x:c r="G366" s="43"/>
      <x:c r="H366" s="43"/>
      <x:c r="I366" s="55" t="str">
        <x:f>IF(OR(F366="",G366="",H366=""),"",F366&amp;" "&amp;UPPER(G366)&amp;"."&amp;LOWER(H366))</x:f>
      </x:c>
      <x:c r="J366" s="37"/>
      <x:c r="K366" s="37"/>
      <x:c r="L366" s="46"/>
      <x:c r="M366" s="43"/>
      <x:c r="N366" s="43"/>
      <x:c r="O366" s="43"/>
      <x:c r="P366" s="58" t="str">
        <x:f>IF(N366="","","Estantería "&amp;N366&amp;IF(O366="",""," - Balda "&amp;N366&amp;O366))</x:f>
      </x:c>
      <x:c r="Q366" s="37"/>
      <x:c r="R366" s="37"/>
      <x:c r="S366" s="49"/>
      <x:c r="T366" s="37"/>
      <x:c r="U366" s="37"/>
      <x:c r="V366" s="37"/>
      <x:c r="W366" s="34"/>
      <x:c r="X366" s="52"/>
      <x:c r="Y366" s="61" t="str">
        <x:f>IF(A366="","",IF(COUNTIF($A$6:$A$605,A366)&gt;1,"DUPLICADO","OK"))</x:f>
      </x:c>
      <x:c r="Z366" s="61" t="str">
        <x:f>IF(A366="","",IF(C366="","FALTA TÍTULO",IF(E366="","FALTA ÁREA",IF(W366&lt;&gt;"Sí","PENDIENTE","LISTO"))))</x:f>
      </x:c>
    </x:row>
    <x:row r="367">
      <x:c r="A367" s="40"/>
      <x:c r="B367" s="40"/>
      <x:c r="C367" s="37"/>
      <x:c r="D367" s="37"/>
      <x:c r="E367" s="37"/>
      <x:c r="F367" s="43"/>
      <x:c r="G367" s="43"/>
      <x:c r="H367" s="43"/>
      <x:c r="I367" s="55" t="str">
        <x:f>IF(OR(F367="",G367="",H367=""),"",F367&amp;" "&amp;UPPER(G367)&amp;"."&amp;LOWER(H367))</x:f>
      </x:c>
      <x:c r="J367" s="37"/>
      <x:c r="K367" s="37"/>
      <x:c r="L367" s="46"/>
      <x:c r="M367" s="43"/>
      <x:c r="N367" s="43"/>
      <x:c r="O367" s="43"/>
      <x:c r="P367" s="58" t="str">
        <x:f>IF(N367="","","Estantería "&amp;N367&amp;IF(O367="",""," - Balda "&amp;N367&amp;O367))</x:f>
      </x:c>
      <x:c r="Q367" s="37"/>
      <x:c r="R367" s="37"/>
      <x:c r="S367" s="49"/>
      <x:c r="T367" s="37"/>
      <x:c r="U367" s="37"/>
      <x:c r="V367" s="37"/>
      <x:c r="W367" s="34"/>
      <x:c r="X367" s="52"/>
      <x:c r="Y367" s="61" t="str">
        <x:f>IF(A367="","",IF(COUNTIF($A$6:$A$605,A367)&gt;1,"DUPLICADO","OK"))</x:f>
      </x:c>
      <x:c r="Z367" s="61" t="str">
        <x:f>IF(A367="","",IF(C367="","FALTA TÍTULO",IF(E367="","FALTA ÁREA",IF(W367&lt;&gt;"Sí","PENDIENTE","LISTO"))))</x:f>
      </x:c>
    </x:row>
    <x:row r="368">
      <x:c r="A368" s="40"/>
      <x:c r="B368" s="40"/>
      <x:c r="C368" s="37"/>
      <x:c r="D368" s="37"/>
      <x:c r="E368" s="37"/>
      <x:c r="F368" s="43"/>
      <x:c r="G368" s="43"/>
      <x:c r="H368" s="43"/>
      <x:c r="I368" s="55" t="str">
        <x:f>IF(OR(F368="",G368="",H368=""),"",F368&amp;" "&amp;UPPER(G368)&amp;"."&amp;LOWER(H368))</x:f>
      </x:c>
      <x:c r="J368" s="37"/>
      <x:c r="K368" s="37"/>
      <x:c r="L368" s="46"/>
      <x:c r="M368" s="43"/>
      <x:c r="N368" s="43"/>
      <x:c r="O368" s="43"/>
      <x:c r="P368" s="58" t="str">
        <x:f>IF(N368="","","Estantería "&amp;N368&amp;IF(O368="",""," - Balda "&amp;N368&amp;O368))</x:f>
      </x:c>
      <x:c r="Q368" s="37"/>
      <x:c r="R368" s="37"/>
      <x:c r="S368" s="49"/>
      <x:c r="T368" s="37"/>
      <x:c r="U368" s="37"/>
      <x:c r="V368" s="37"/>
      <x:c r="W368" s="34"/>
      <x:c r="X368" s="52"/>
      <x:c r="Y368" s="61" t="str">
        <x:f>IF(A368="","",IF(COUNTIF($A$6:$A$605,A368)&gt;1,"DUPLICADO","OK"))</x:f>
      </x:c>
      <x:c r="Z368" s="61" t="str">
        <x:f>IF(A368="","",IF(C368="","FALTA TÍTULO",IF(E368="","FALTA ÁREA",IF(W368&lt;&gt;"Sí","PENDIENTE","LISTO"))))</x:f>
      </x:c>
    </x:row>
    <x:row r="369">
      <x:c r="A369" s="40"/>
      <x:c r="B369" s="40"/>
      <x:c r="C369" s="37"/>
      <x:c r="D369" s="37"/>
      <x:c r="E369" s="37"/>
      <x:c r="F369" s="43"/>
      <x:c r="G369" s="43"/>
      <x:c r="H369" s="43"/>
      <x:c r="I369" s="55" t="str">
        <x:f>IF(OR(F369="",G369="",H369=""),"",F369&amp;" "&amp;UPPER(G369)&amp;"."&amp;LOWER(H369))</x:f>
      </x:c>
      <x:c r="J369" s="37"/>
      <x:c r="K369" s="37"/>
      <x:c r="L369" s="46"/>
      <x:c r="M369" s="43"/>
      <x:c r="N369" s="43"/>
      <x:c r="O369" s="43"/>
      <x:c r="P369" s="58" t="str">
        <x:f>IF(N369="","","Estantería "&amp;N369&amp;IF(O369="",""," - Balda "&amp;N369&amp;O369))</x:f>
      </x:c>
      <x:c r="Q369" s="37"/>
      <x:c r="R369" s="37"/>
      <x:c r="S369" s="49"/>
      <x:c r="T369" s="37"/>
      <x:c r="U369" s="37"/>
      <x:c r="V369" s="37"/>
      <x:c r="W369" s="34"/>
      <x:c r="X369" s="52"/>
      <x:c r="Y369" s="61" t="str">
        <x:f>IF(A369="","",IF(COUNTIF($A$6:$A$605,A369)&gt;1,"DUPLICADO","OK"))</x:f>
      </x:c>
      <x:c r="Z369" s="61" t="str">
        <x:f>IF(A369="","",IF(C369="","FALTA TÍTULO",IF(E369="","FALTA ÁREA",IF(W369&lt;&gt;"Sí","PENDIENTE","LISTO"))))</x:f>
      </x:c>
    </x:row>
    <x:row r="370">
      <x:c r="A370" s="40"/>
      <x:c r="B370" s="40"/>
      <x:c r="C370" s="37"/>
      <x:c r="D370" s="37"/>
      <x:c r="E370" s="37"/>
      <x:c r="F370" s="43"/>
      <x:c r="G370" s="43"/>
      <x:c r="H370" s="43"/>
      <x:c r="I370" s="55" t="str">
        <x:f>IF(OR(F370="",G370="",H370=""),"",F370&amp;" "&amp;UPPER(G370)&amp;"."&amp;LOWER(H370))</x:f>
      </x:c>
      <x:c r="J370" s="37"/>
      <x:c r="K370" s="37"/>
      <x:c r="L370" s="46"/>
      <x:c r="M370" s="43"/>
      <x:c r="N370" s="43"/>
      <x:c r="O370" s="43"/>
      <x:c r="P370" s="58" t="str">
        <x:f>IF(N370="","","Estantería "&amp;N370&amp;IF(O370="",""," - Balda "&amp;N370&amp;O370))</x:f>
      </x:c>
      <x:c r="Q370" s="37"/>
      <x:c r="R370" s="37"/>
      <x:c r="S370" s="49"/>
      <x:c r="T370" s="37"/>
      <x:c r="U370" s="37"/>
      <x:c r="V370" s="37"/>
      <x:c r="W370" s="34"/>
      <x:c r="X370" s="52"/>
      <x:c r="Y370" s="61" t="str">
        <x:f>IF(A370="","",IF(COUNTIF($A$6:$A$605,A370)&gt;1,"DUPLICADO","OK"))</x:f>
      </x:c>
      <x:c r="Z370" s="61" t="str">
        <x:f>IF(A370="","",IF(C370="","FALTA TÍTULO",IF(E370="","FALTA ÁREA",IF(W370&lt;&gt;"Sí","PENDIENTE","LISTO"))))</x:f>
      </x:c>
    </x:row>
    <x:row r="371">
      <x:c r="A371" s="40"/>
      <x:c r="B371" s="40"/>
      <x:c r="C371" s="37"/>
      <x:c r="D371" s="37"/>
      <x:c r="E371" s="37"/>
      <x:c r="F371" s="43"/>
      <x:c r="G371" s="43"/>
      <x:c r="H371" s="43"/>
      <x:c r="I371" s="55" t="str">
        <x:f>IF(OR(F371="",G371="",H371=""),"",F371&amp;" "&amp;UPPER(G371)&amp;"."&amp;LOWER(H371))</x:f>
      </x:c>
      <x:c r="J371" s="37"/>
      <x:c r="K371" s="37"/>
      <x:c r="L371" s="46"/>
      <x:c r="M371" s="43"/>
      <x:c r="N371" s="43"/>
      <x:c r="O371" s="43"/>
      <x:c r="P371" s="58" t="str">
        <x:f>IF(N371="","","Estantería "&amp;N371&amp;IF(O371="",""," - Balda "&amp;N371&amp;O371))</x:f>
      </x:c>
      <x:c r="Q371" s="37"/>
      <x:c r="R371" s="37"/>
      <x:c r="S371" s="49"/>
      <x:c r="T371" s="37"/>
      <x:c r="U371" s="37"/>
      <x:c r="V371" s="37"/>
      <x:c r="W371" s="34"/>
      <x:c r="X371" s="52"/>
      <x:c r="Y371" s="61" t="str">
        <x:f>IF(A371="","",IF(COUNTIF($A$6:$A$605,A371)&gt;1,"DUPLICADO","OK"))</x:f>
      </x:c>
      <x:c r="Z371" s="61" t="str">
        <x:f>IF(A371="","",IF(C371="","FALTA TÍTULO",IF(E371="","FALTA ÁREA",IF(W371&lt;&gt;"Sí","PENDIENTE","LISTO"))))</x:f>
      </x:c>
    </x:row>
    <x:row r="372">
      <x:c r="A372" s="40"/>
      <x:c r="B372" s="40"/>
      <x:c r="C372" s="37"/>
      <x:c r="D372" s="37"/>
      <x:c r="E372" s="37"/>
      <x:c r="F372" s="43"/>
      <x:c r="G372" s="43"/>
      <x:c r="H372" s="43"/>
      <x:c r="I372" s="55" t="str">
        <x:f>IF(OR(F372="",G372="",H372=""),"",F372&amp;" "&amp;UPPER(G372)&amp;"."&amp;LOWER(H372))</x:f>
      </x:c>
      <x:c r="J372" s="37"/>
      <x:c r="K372" s="37"/>
      <x:c r="L372" s="46"/>
      <x:c r="M372" s="43"/>
      <x:c r="N372" s="43"/>
      <x:c r="O372" s="43"/>
      <x:c r="P372" s="58" t="str">
        <x:f>IF(N372="","","Estantería "&amp;N372&amp;IF(O372="",""," - Balda "&amp;N372&amp;O372))</x:f>
      </x:c>
      <x:c r="Q372" s="37"/>
      <x:c r="R372" s="37"/>
      <x:c r="S372" s="49"/>
      <x:c r="T372" s="37"/>
      <x:c r="U372" s="37"/>
      <x:c r="V372" s="37"/>
      <x:c r="W372" s="34"/>
      <x:c r="X372" s="52"/>
      <x:c r="Y372" s="61" t="str">
        <x:f>IF(A372="","",IF(COUNTIF($A$6:$A$605,A372)&gt;1,"DUPLICADO","OK"))</x:f>
      </x:c>
      <x:c r="Z372" s="61" t="str">
        <x:f>IF(A372="","",IF(C372="","FALTA TÍTULO",IF(E372="","FALTA ÁREA",IF(W372&lt;&gt;"Sí","PENDIENTE","LISTO"))))</x:f>
      </x:c>
    </x:row>
    <x:row r="373">
      <x:c r="A373" s="40"/>
      <x:c r="B373" s="40"/>
      <x:c r="C373" s="37"/>
      <x:c r="D373" s="37"/>
      <x:c r="E373" s="37"/>
      <x:c r="F373" s="43"/>
      <x:c r="G373" s="43"/>
      <x:c r="H373" s="43"/>
      <x:c r="I373" s="55" t="str">
        <x:f>IF(OR(F373="",G373="",H373=""),"",F373&amp;" "&amp;UPPER(G373)&amp;"."&amp;LOWER(H373))</x:f>
      </x:c>
      <x:c r="J373" s="37"/>
      <x:c r="K373" s="37"/>
      <x:c r="L373" s="46"/>
      <x:c r="M373" s="43"/>
      <x:c r="N373" s="43"/>
      <x:c r="O373" s="43"/>
      <x:c r="P373" s="58" t="str">
        <x:f>IF(N373="","","Estantería "&amp;N373&amp;IF(O373="",""," - Balda "&amp;N373&amp;O373))</x:f>
      </x:c>
      <x:c r="Q373" s="37"/>
      <x:c r="R373" s="37"/>
      <x:c r="S373" s="49"/>
      <x:c r="T373" s="37"/>
      <x:c r="U373" s="37"/>
      <x:c r="V373" s="37"/>
      <x:c r="W373" s="34"/>
      <x:c r="X373" s="52"/>
      <x:c r="Y373" s="61" t="str">
        <x:f>IF(A373="","",IF(COUNTIF($A$6:$A$605,A373)&gt;1,"DUPLICADO","OK"))</x:f>
      </x:c>
      <x:c r="Z373" s="61" t="str">
        <x:f>IF(A373="","",IF(C373="","FALTA TÍTULO",IF(E373="","FALTA ÁREA",IF(W373&lt;&gt;"Sí","PENDIENTE","LISTO"))))</x:f>
      </x:c>
    </x:row>
    <x:row r="374">
      <x:c r="A374" s="40"/>
      <x:c r="B374" s="40"/>
      <x:c r="C374" s="37"/>
      <x:c r="D374" s="37"/>
      <x:c r="E374" s="37"/>
      <x:c r="F374" s="43"/>
      <x:c r="G374" s="43"/>
      <x:c r="H374" s="43"/>
      <x:c r="I374" s="55" t="str">
        <x:f>IF(OR(F374="",G374="",H374=""),"",F374&amp;" "&amp;UPPER(G374)&amp;"."&amp;LOWER(H374))</x:f>
      </x:c>
      <x:c r="J374" s="37"/>
      <x:c r="K374" s="37"/>
      <x:c r="L374" s="46"/>
      <x:c r="M374" s="43"/>
      <x:c r="N374" s="43"/>
      <x:c r="O374" s="43"/>
      <x:c r="P374" s="58" t="str">
        <x:f>IF(N374="","","Estantería "&amp;N374&amp;IF(O374="",""," - Balda "&amp;N374&amp;O374))</x:f>
      </x:c>
      <x:c r="Q374" s="37"/>
      <x:c r="R374" s="37"/>
      <x:c r="S374" s="49"/>
      <x:c r="T374" s="37"/>
      <x:c r="U374" s="37"/>
      <x:c r="V374" s="37"/>
      <x:c r="W374" s="34"/>
      <x:c r="X374" s="52"/>
      <x:c r="Y374" s="61" t="str">
        <x:f>IF(A374="","",IF(COUNTIF($A$6:$A$605,A374)&gt;1,"DUPLICADO","OK"))</x:f>
      </x:c>
      <x:c r="Z374" s="61" t="str">
        <x:f>IF(A374="","",IF(C374="","FALTA TÍTULO",IF(E374="","FALTA ÁREA",IF(W374&lt;&gt;"Sí","PENDIENTE","LISTO"))))</x:f>
      </x:c>
    </x:row>
    <x:row r="375">
      <x:c r="A375" s="40"/>
      <x:c r="B375" s="40"/>
      <x:c r="C375" s="37"/>
      <x:c r="D375" s="37"/>
      <x:c r="E375" s="37"/>
      <x:c r="F375" s="43"/>
      <x:c r="G375" s="43"/>
      <x:c r="H375" s="43"/>
      <x:c r="I375" s="55" t="str">
        <x:f>IF(OR(F375="",G375="",H375=""),"",F375&amp;" "&amp;UPPER(G375)&amp;"."&amp;LOWER(H375))</x:f>
      </x:c>
      <x:c r="J375" s="37"/>
      <x:c r="K375" s="37"/>
      <x:c r="L375" s="46"/>
      <x:c r="M375" s="43"/>
      <x:c r="N375" s="43"/>
      <x:c r="O375" s="43"/>
      <x:c r="P375" s="58" t="str">
        <x:f>IF(N375="","","Estantería "&amp;N375&amp;IF(O375="",""," - Balda "&amp;N375&amp;O375))</x:f>
      </x:c>
      <x:c r="Q375" s="37"/>
      <x:c r="R375" s="37"/>
      <x:c r="S375" s="49"/>
      <x:c r="T375" s="37"/>
      <x:c r="U375" s="37"/>
      <x:c r="V375" s="37"/>
      <x:c r="W375" s="34"/>
      <x:c r="X375" s="52"/>
      <x:c r="Y375" s="61" t="str">
        <x:f>IF(A375="","",IF(COUNTIF($A$6:$A$605,A375)&gt;1,"DUPLICADO","OK"))</x:f>
      </x:c>
      <x:c r="Z375" s="61" t="str">
        <x:f>IF(A375="","",IF(C375="","FALTA TÍTULO",IF(E375="","FALTA ÁREA",IF(W375&lt;&gt;"Sí","PENDIENTE","LISTO"))))</x:f>
      </x:c>
    </x:row>
    <x:row r="376">
      <x:c r="A376" s="40"/>
      <x:c r="B376" s="40"/>
      <x:c r="C376" s="37"/>
      <x:c r="D376" s="37"/>
      <x:c r="E376" s="37"/>
      <x:c r="F376" s="43"/>
      <x:c r="G376" s="43"/>
      <x:c r="H376" s="43"/>
      <x:c r="I376" s="55" t="str">
        <x:f>IF(OR(F376="",G376="",H376=""),"",F376&amp;" "&amp;UPPER(G376)&amp;"."&amp;LOWER(H376))</x:f>
      </x:c>
      <x:c r="J376" s="37"/>
      <x:c r="K376" s="37"/>
      <x:c r="L376" s="46"/>
      <x:c r="M376" s="43"/>
      <x:c r="N376" s="43"/>
      <x:c r="O376" s="43"/>
      <x:c r="P376" s="58" t="str">
        <x:f>IF(N376="","","Estantería "&amp;N376&amp;IF(O376="",""," - Balda "&amp;N376&amp;O376))</x:f>
      </x:c>
      <x:c r="Q376" s="37"/>
      <x:c r="R376" s="37"/>
      <x:c r="S376" s="49"/>
      <x:c r="T376" s="37"/>
      <x:c r="U376" s="37"/>
      <x:c r="V376" s="37"/>
      <x:c r="W376" s="34"/>
      <x:c r="X376" s="52"/>
      <x:c r="Y376" s="61" t="str">
        <x:f>IF(A376="","",IF(COUNTIF($A$6:$A$605,A376)&gt;1,"DUPLICADO","OK"))</x:f>
      </x:c>
      <x:c r="Z376" s="61" t="str">
        <x:f>IF(A376="","",IF(C376="","FALTA TÍTULO",IF(E376="","FALTA ÁREA",IF(W376&lt;&gt;"Sí","PENDIENTE","LISTO"))))</x:f>
      </x:c>
    </x:row>
    <x:row r="377">
      <x:c r="A377" s="40"/>
      <x:c r="B377" s="40"/>
      <x:c r="C377" s="37"/>
      <x:c r="D377" s="37"/>
      <x:c r="E377" s="37"/>
      <x:c r="F377" s="43"/>
      <x:c r="G377" s="43"/>
      <x:c r="H377" s="43"/>
      <x:c r="I377" s="55" t="str">
        <x:f>IF(OR(F377="",G377="",H377=""),"",F377&amp;" "&amp;UPPER(G377)&amp;"."&amp;LOWER(H377))</x:f>
      </x:c>
      <x:c r="J377" s="37"/>
      <x:c r="K377" s="37"/>
      <x:c r="L377" s="46"/>
      <x:c r="M377" s="43"/>
      <x:c r="N377" s="43"/>
      <x:c r="O377" s="43"/>
      <x:c r="P377" s="58" t="str">
        <x:f>IF(N377="","","Estantería "&amp;N377&amp;IF(O377="",""," - Balda "&amp;N377&amp;O377))</x:f>
      </x:c>
      <x:c r="Q377" s="37"/>
      <x:c r="R377" s="37"/>
      <x:c r="S377" s="49"/>
      <x:c r="T377" s="37"/>
      <x:c r="U377" s="37"/>
      <x:c r="V377" s="37"/>
      <x:c r="W377" s="34"/>
      <x:c r="X377" s="52"/>
      <x:c r="Y377" s="61" t="str">
        <x:f>IF(A377="","",IF(COUNTIF($A$6:$A$605,A377)&gt;1,"DUPLICADO","OK"))</x:f>
      </x:c>
      <x:c r="Z377" s="61" t="str">
        <x:f>IF(A377="","",IF(C377="","FALTA TÍTULO",IF(E377="","FALTA ÁREA",IF(W377&lt;&gt;"Sí","PENDIENTE","LISTO"))))</x:f>
      </x:c>
    </x:row>
    <x:row r="378">
      <x:c r="A378" s="40"/>
      <x:c r="B378" s="40"/>
      <x:c r="C378" s="37"/>
      <x:c r="D378" s="37"/>
      <x:c r="E378" s="37"/>
      <x:c r="F378" s="43"/>
      <x:c r="G378" s="43"/>
      <x:c r="H378" s="43"/>
      <x:c r="I378" s="55" t="str">
        <x:f>IF(OR(F378="",G378="",H378=""),"",F378&amp;" "&amp;UPPER(G378)&amp;"."&amp;LOWER(H378))</x:f>
      </x:c>
      <x:c r="J378" s="37"/>
      <x:c r="K378" s="37"/>
      <x:c r="L378" s="46"/>
      <x:c r="M378" s="43"/>
      <x:c r="N378" s="43"/>
      <x:c r="O378" s="43"/>
      <x:c r="P378" s="58" t="str">
        <x:f>IF(N378="","","Estantería "&amp;N378&amp;IF(O378="",""," - Balda "&amp;N378&amp;O378))</x:f>
      </x:c>
      <x:c r="Q378" s="37"/>
      <x:c r="R378" s="37"/>
      <x:c r="S378" s="49"/>
      <x:c r="T378" s="37"/>
      <x:c r="U378" s="37"/>
      <x:c r="V378" s="37"/>
      <x:c r="W378" s="34"/>
      <x:c r="X378" s="52"/>
      <x:c r="Y378" s="61" t="str">
        <x:f>IF(A378="","",IF(COUNTIF($A$6:$A$605,A378)&gt;1,"DUPLICADO","OK"))</x:f>
      </x:c>
      <x:c r="Z378" s="61" t="str">
        <x:f>IF(A378="","",IF(C378="","FALTA TÍTULO",IF(E378="","FALTA ÁREA",IF(W378&lt;&gt;"Sí","PENDIENTE","LISTO"))))</x:f>
      </x:c>
    </x:row>
    <x:row r="379">
      <x:c r="A379" s="40"/>
      <x:c r="B379" s="40"/>
      <x:c r="C379" s="37"/>
      <x:c r="D379" s="37"/>
      <x:c r="E379" s="37"/>
      <x:c r="F379" s="43"/>
      <x:c r="G379" s="43"/>
      <x:c r="H379" s="43"/>
      <x:c r="I379" s="55" t="str">
        <x:f>IF(OR(F379="",G379="",H379=""),"",F379&amp;" "&amp;UPPER(G379)&amp;"."&amp;LOWER(H379))</x:f>
      </x:c>
      <x:c r="J379" s="37"/>
      <x:c r="K379" s="37"/>
      <x:c r="L379" s="46"/>
      <x:c r="M379" s="43"/>
      <x:c r="N379" s="43"/>
      <x:c r="O379" s="43"/>
      <x:c r="P379" s="58" t="str">
        <x:f>IF(N379="","","Estantería "&amp;N379&amp;IF(O379="",""," - Balda "&amp;N379&amp;O379))</x:f>
      </x:c>
      <x:c r="Q379" s="37"/>
      <x:c r="R379" s="37"/>
      <x:c r="S379" s="49"/>
      <x:c r="T379" s="37"/>
      <x:c r="U379" s="37"/>
      <x:c r="V379" s="37"/>
      <x:c r="W379" s="34"/>
      <x:c r="X379" s="52"/>
      <x:c r="Y379" s="61" t="str">
        <x:f>IF(A379="","",IF(COUNTIF($A$6:$A$605,A379)&gt;1,"DUPLICADO","OK"))</x:f>
      </x:c>
      <x:c r="Z379" s="61" t="str">
        <x:f>IF(A379="","",IF(C379="","FALTA TÍTULO",IF(E379="","FALTA ÁREA",IF(W379&lt;&gt;"Sí","PENDIENTE","LISTO"))))</x:f>
      </x:c>
    </x:row>
    <x:row r="380">
      <x:c r="A380" s="40"/>
      <x:c r="B380" s="40"/>
      <x:c r="C380" s="37"/>
      <x:c r="D380" s="37"/>
      <x:c r="E380" s="37"/>
      <x:c r="F380" s="43"/>
      <x:c r="G380" s="43"/>
      <x:c r="H380" s="43"/>
      <x:c r="I380" s="55" t="str">
        <x:f>IF(OR(F380="",G380="",H380=""),"",F380&amp;" "&amp;UPPER(G380)&amp;"."&amp;LOWER(H380))</x:f>
      </x:c>
      <x:c r="J380" s="37"/>
      <x:c r="K380" s="37"/>
      <x:c r="L380" s="46"/>
      <x:c r="M380" s="43"/>
      <x:c r="N380" s="43"/>
      <x:c r="O380" s="43"/>
      <x:c r="P380" s="58" t="str">
        <x:f>IF(N380="","","Estantería "&amp;N380&amp;IF(O380="",""," - Balda "&amp;N380&amp;O380))</x:f>
      </x:c>
      <x:c r="Q380" s="37"/>
      <x:c r="R380" s="37"/>
      <x:c r="S380" s="49"/>
      <x:c r="T380" s="37"/>
      <x:c r="U380" s="37"/>
      <x:c r="V380" s="37"/>
      <x:c r="W380" s="34"/>
      <x:c r="X380" s="52"/>
      <x:c r="Y380" s="61" t="str">
        <x:f>IF(A380="","",IF(COUNTIF($A$6:$A$605,A380)&gt;1,"DUPLICADO","OK"))</x:f>
      </x:c>
      <x:c r="Z380" s="61" t="str">
        <x:f>IF(A380="","",IF(C380="","FALTA TÍTULO",IF(E380="","FALTA ÁREA",IF(W380&lt;&gt;"Sí","PENDIENTE","LISTO"))))</x:f>
      </x:c>
    </x:row>
    <x:row r="381">
      <x:c r="A381" s="40"/>
      <x:c r="B381" s="40"/>
      <x:c r="C381" s="37"/>
      <x:c r="D381" s="37"/>
      <x:c r="E381" s="37"/>
      <x:c r="F381" s="43"/>
      <x:c r="G381" s="43"/>
      <x:c r="H381" s="43"/>
      <x:c r="I381" s="55" t="str">
        <x:f>IF(OR(F381="",G381="",H381=""),"",F381&amp;" "&amp;UPPER(G381)&amp;"."&amp;LOWER(H381))</x:f>
      </x:c>
      <x:c r="J381" s="37"/>
      <x:c r="K381" s="37"/>
      <x:c r="L381" s="46"/>
      <x:c r="M381" s="43"/>
      <x:c r="N381" s="43"/>
      <x:c r="O381" s="43"/>
      <x:c r="P381" s="58" t="str">
        <x:f>IF(N381="","","Estantería "&amp;N381&amp;IF(O381="",""," - Balda "&amp;N381&amp;O381))</x:f>
      </x:c>
      <x:c r="Q381" s="37"/>
      <x:c r="R381" s="37"/>
      <x:c r="S381" s="49"/>
      <x:c r="T381" s="37"/>
      <x:c r="U381" s="37"/>
      <x:c r="V381" s="37"/>
      <x:c r="W381" s="34"/>
      <x:c r="X381" s="52"/>
      <x:c r="Y381" s="61" t="str">
        <x:f>IF(A381="","",IF(COUNTIF($A$6:$A$605,A381)&gt;1,"DUPLICADO","OK"))</x:f>
      </x:c>
      <x:c r="Z381" s="61" t="str">
        <x:f>IF(A381="","",IF(C381="","FALTA TÍTULO",IF(E381="","FALTA ÁREA",IF(W381&lt;&gt;"Sí","PENDIENTE","LISTO"))))</x:f>
      </x:c>
    </x:row>
    <x:row r="382">
      <x:c r="A382" s="40"/>
      <x:c r="B382" s="40"/>
      <x:c r="C382" s="37"/>
      <x:c r="D382" s="37"/>
      <x:c r="E382" s="37"/>
      <x:c r="F382" s="43"/>
      <x:c r="G382" s="43"/>
      <x:c r="H382" s="43"/>
      <x:c r="I382" s="55" t="str">
        <x:f>IF(OR(F382="",G382="",H382=""),"",F382&amp;" "&amp;UPPER(G382)&amp;"."&amp;LOWER(H382))</x:f>
      </x:c>
      <x:c r="J382" s="37"/>
      <x:c r="K382" s="37"/>
      <x:c r="L382" s="46"/>
      <x:c r="M382" s="43"/>
      <x:c r="N382" s="43"/>
      <x:c r="O382" s="43"/>
      <x:c r="P382" s="58" t="str">
        <x:f>IF(N382="","","Estantería "&amp;N382&amp;IF(O382="",""," - Balda "&amp;N382&amp;O382))</x:f>
      </x:c>
      <x:c r="Q382" s="37"/>
      <x:c r="R382" s="37"/>
      <x:c r="S382" s="49"/>
      <x:c r="T382" s="37"/>
      <x:c r="U382" s="37"/>
      <x:c r="V382" s="37"/>
      <x:c r="W382" s="34"/>
      <x:c r="X382" s="52"/>
      <x:c r="Y382" s="61" t="str">
        <x:f>IF(A382="","",IF(COUNTIF($A$6:$A$605,A382)&gt;1,"DUPLICADO","OK"))</x:f>
      </x:c>
      <x:c r="Z382" s="61" t="str">
        <x:f>IF(A382="","",IF(C382="","FALTA TÍTULO",IF(E382="","FALTA ÁREA",IF(W382&lt;&gt;"Sí","PENDIENTE","LISTO"))))</x:f>
      </x:c>
    </x:row>
    <x:row r="383">
      <x:c r="A383" s="40"/>
      <x:c r="B383" s="40"/>
      <x:c r="C383" s="37"/>
      <x:c r="D383" s="37"/>
      <x:c r="E383" s="37"/>
      <x:c r="F383" s="43"/>
      <x:c r="G383" s="43"/>
      <x:c r="H383" s="43"/>
      <x:c r="I383" s="55" t="str">
        <x:f>IF(OR(F383="",G383="",H383=""),"",F383&amp;" "&amp;UPPER(G383)&amp;"."&amp;LOWER(H383))</x:f>
      </x:c>
      <x:c r="J383" s="37"/>
      <x:c r="K383" s="37"/>
      <x:c r="L383" s="46"/>
      <x:c r="M383" s="43"/>
      <x:c r="N383" s="43"/>
      <x:c r="O383" s="43"/>
      <x:c r="P383" s="58" t="str">
        <x:f>IF(N383="","","Estantería "&amp;N383&amp;IF(O383="",""," - Balda "&amp;N383&amp;O383))</x:f>
      </x:c>
      <x:c r="Q383" s="37"/>
      <x:c r="R383" s="37"/>
      <x:c r="S383" s="49"/>
      <x:c r="T383" s="37"/>
      <x:c r="U383" s="37"/>
      <x:c r="V383" s="37"/>
      <x:c r="W383" s="34"/>
      <x:c r="X383" s="52"/>
      <x:c r="Y383" s="61" t="str">
        <x:f>IF(A383="","",IF(COUNTIF($A$6:$A$605,A383)&gt;1,"DUPLICADO","OK"))</x:f>
      </x:c>
      <x:c r="Z383" s="61" t="str">
        <x:f>IF(A383="","",IF(C383="","FALTA TÍTULO",IF(E383="","FALTA ÁREA",IF(W383&lt;&gt;"Sí","PENDIENTE","LISTO"))))</x:f>
      </x:c>
    </x:row>
    <x:row r="384">
      <x:c r="A384" s="40"/>
      <x:c r="B384" s="40"/>
      <x:c r="C384" s="37"/>
      <x:c r="D384" s="37"/>
      <x:c r="E384" s="37"/>
      <x:c r="F384" s="43"/>
      <x:c r="G384" s="43"/>
      <x:c r="H384" s="43"/>
      <x:c r="I384" s="55" t="str">
        <x:f>IF(OR(F384="",G384="",H384=""),"",F384&amp;" "&amp;UPPER(G384)&amp;"."&amp;LOWER(H384))</x:f>
      </x:c>
      <x:c r="J384" s="37"/>
      <x:c r="K384" s="37"/>
      <x:c r="L384" s="46"/>
      <x:c r="M384" s="43"/>
      <x:c r="N384" s="43"/>
      <x:c r="O384" s="43"/>
      <x:c r="P384" s="58" t="str">
        <x:f>IF(N384="","","Estantería "&amp;N384&amp;IF(O384="",""," - Balda "&amp;N384&amp;O384))</x:f>
      </x:c>
      <x:c r="Q384" s="37"/>
      <x:c r="R384" s="37"/>
      <x:c r="S384" s="49"/>
      <x:c r="T384" s="37"/>
      <x:c r="U384" s="37"/>
      <x:c r="V384" s="37"/>
      <x:c r="W384" s="34"/>
      <x:c r="X384" s="52"/>
      <x:c r="Y384" s="61" t="str">
        <x:f>IF(A384="","",IF(COUNTIF($A$6:$A$605,A384)&gt;1,"DUPLICADO","OK"))</x:f>
      </x:c>
      <x:c r="Z384" s="61" t="str">
        <x:f>IF(A384="","",IF(C384="","FALTA TÍTULO",IF(E384="","FALTA ÁREA",IF(W384&lt;&gt;"Sí","PENDIENTE","LISTO"))))</x:f>
      </x:c>
    </x:row>
    <x:row r="385">
      <x:c r="A385" s="40"/>
      <x:c r="B385" s="40"/>
      <x:c r="C385" s="37"/>
      <x:c r="D385" s="37"/>
      <x:c r="E385" s="37"/>
      <x:c r="F385" s="43"/>
      <x:c r="G385" s="43"/>
      <x:c r="H385" s="43"/>
      <x:c r="I385" s="55" t="str">
        <x:f>IF(OR(F385="",G385="",H385=""),"",F385&amp;" "&amp;UPPER(G385)&amp;"."&amp;LOWER(H385))</x:f>
      </x:c>
      <x:c r="J385" s="37"/>
      <x:c r="K385" s="37"/>
      <x:c r="L385" s="46"/>
      <x:c r="M385" s="43"/>
      <x:c r="N385" s="43"/>
      <x:c r="O385" s="43"/>
      <x:c r="P385" s="58" t="str">
        <x:f>IF(N385="","","Estantería "&amp;N385&amp;IF(O385="",""," - Balda "&amp;N385&amp;O385))</x:f>
      </x:c>
      <x:c r="Q385" s="37"/>
      <x:c r="R385" s="37"/>
      <x:c r="S385" s="49"/>
      <x:c r="T385" s="37"/>
      <x:c r="U385" s="37"/>
      <x:c r="V385" s="37"/>
      <x:c r="W385" s="34"/>
      <x:c r="X385" s="52"/>
      <x:c r="Y385" s="61" t="str">
        <x:f>IF(A385="","",IF(COUNTIF($A$6:$A$605,A385)&gt;1,"DUPLICADO","OK"))</x:f>
      </x:c>
      <x:c r="Z385" s="61" t="str">
        <x:f>IF(A385="","",IF(C385="","FALTA TÍTULO",IF(E385="","FALTA ÁREA",IF(W385&lt;&gt;"Sí","PENDIENTE","LISTO"))))</x:f>
      </x:c>
    </x:row>
    <x:row r="386">
      <x:c r="A386" s="40"/>
      <x:c r="B386" s="40"/>
      <x:c r="C386" s="37"/>
      <x:c r="D386" s="37"/>
      <x:c r="E386" s="37"/>
      <x:c r="F386" s="43"/>
      <x:c r="G386" s="43"/>
      <x:c r="H386" s="43"/>
      <x:c r="I386" s="55" t="str">
        <x:f>IF(OR(F386="",G386="",H386=""),"",F386&amp;" "&amp;UPPER(G386)&amp;"."&amp;LOWER(H386))</x:f>
      </x:c>
      <x:c r="J386" s="37"/>
      <x:c r="K386" s="37"/>
      <x:c r="L386" s="46"/>
      <x:c r="M386" s="43"/>
      <x:c r="N386" s="43"/>
      <x:c r="O386" s="43"/>
      <x:c r="P386" s="58" t="str">
        <x:f>IF(N386="","","Estantería "&amp;N386&amp;IF(O386="",""," - Balda "&amp;N386&amp;O386))</x:f>
      </x:c>
      <x:c r="Q386" s="37"/>
      <x:c r="R386" s="37"/>
      <x:c r="S386" s="49"/>
      <x:c r="T386" s="37"/>
      <x:c r="U386" s="37"/>
      <x:c r="V386" s="37"/>
      <x:c r="W386" s="34"/>
      <x:c r="X386" s="52"/>
      <x:c r="Y386" s="61" t="str">
        <x:f>IF(A386="","",IF(COUNTIF($A$6:$A$605,A386)&gt;1,"DUPLICADO","OK"))</x:f>
      </x:c>
      <x:c r="Z386" s="61" t="str">
        <x:f>IF(A386="","",IF(C386="","FALTA TÍTULO",IF(E386="","FALTA ÁREA",IF(W386&lt;&gt;"Sí","PENDIENTE","LISTO"))))</x:f>
      </x:c>
    </x:row>
    <x:row r="387">
      <x:c r="A387" s="40"/>
      <x:c r="B387" s="40"/>
      <x:c r="C387" s="37"/>
      <x:c r="D387" s="37"/>
      <x:c r="E387" s="37"/>
      <x:c r="F387" s="43"/>
      <x:c r="G387" s="43"/>
      <x:c r="H387" s="43"/>
      <x:c r="I387" s="55" t="str">
        <x:f>IF(OR(F387="",G387="",H387=""),"",F387&amp;" "&amp;UPPER(G387)&amp;"."&amp;LOWER(H387))</x:f>
      </x:c>
      <x:c r="J387" s="37"/>
      <x:c r="K387" s="37"/>
      <x:c r="L387" s="46"/>
      <x:c r="M387" s="43"/>
      <x:c r="N387" s="43"/>
      <x:c r="O387" s="43"/>
      <x:c r="P387" s="58" t="str">
        <x:f>IF(N387="","","Estantería "&amp;N387&amp;IF(O387="",""," - Balda "&amp;N387&amp;O387))</x:f>
      </x:c>
      <x:c r="Q387" s="37"/>
      <x:c r="R387" s="37"/>
      <x:c r="S387" s="49"/>
      <x:c r="T387" s="37"/>
      <x:c r="U387" s="37"/>
      <x:c r="V387" s="37"/>
      <x:c r="W387" s="34"/>
      <x:c r="X387" s="52"/>
      <x:c r="Y387" s="61" t="str">
        <x:f>IF(A387="","",IF(COUNTIF($A$6:$A$605,A387)&gt;1,"DUPLICADO","OK"))</x:f>
      </x:c>
      <x:c r="Z387" s="61" t="str">
        <x:f>IF(A387="","",IF(C387="","FALTA TÍTULO",IF(E387="","FALTA ÁREA",IF(W387&lt;&gt;"Sí","PENDIENTE","LISTO"))))</x:f>
      </x:c>
    </x:row>
    <x:row r="388">
      <x:c r="A388" s="40"/>
      <x:c r="B388" s="40"/>
      <x:c r="C388" s="37"/>
      <x:c r="D388" s="37"/>
      <x:c r="E388" s="37"/>
      <x:c r="F388" s="43"/>
      <x:c r="G388" s="43"/>
      <x:c r="H388" s="43"/>
      <x:c r="I388" s="55" t="str">
        <x:f>IF(OR(F388="",G388="",H388=""),"",F388&amp;" "&amp;UPPER(G388)&amp;"."&amp;LOWER(H388))</x:f>
      </x:c>
      <x:c r="J388" s="37"/>
      <x:c r="K388" s="37"/>
      <x:c r="L388" s="46"/>
      <x:c r="M388" s="43"/>
      <x:c r="N388" s="43"/>
      <x:c r="O388" s="43"/>
      <x:c r="P388" s="58" t="str">
        <x:f>IF(N388="","","Estantería "&amp;N388&amp;IF(O388="",""," - Balda "&amp;N388&amp;O388))</x:f>
      </x:c>
      <x:c r="Q388" s="37"/>
      <x:c r="R388" s="37"/>
      <x:c r="S388" s="49"/>
      <x:c r="T388" s="37"/>
      <x:c r="U388" s="37"/>
      <x:c r="V388" s="37"/>
      <x:c r="W388" s="34"/>
      <x:c r="X388" s="52"/>
      <x:c r="Y388" s="61" t="str">
        <x:f>IF(A388="","",IF(COUNTIF($A$6:$A$605,A388)&gt;1,"DUPLICADO","OK"))</x:f>
      </x:c>
      <x:c r="Z388" s="61" t="str">
        <x:f>IF(A388="","",IF(C388="","FALTA TÍTULO",IF(E388="","FALTA ÁREA",IF(W388&lt;&gt;"Sí","PENDIENTE","LISTO"))))</x:f>
      </x:c>
    </x:row>
    <x:row r="389">
      <x:c r="A389" s="40"/>
      <x:c r="B389" s="40"/>
      <x:c r="C389" s="37"/>
      <x:c r="D389" s="37"/>
      <x:c r="E389" s="37"/>
      <x:c r="F389" s="43"/>
      <x:c r="G389" s="43"/>
      <x:c r="H389" s="43"/>
      <x:c r="I389" s="55" t="str">
        <x:f>IF(OR(F389="",G389="",H389=""),"",F389&amp;" "&amp;UPPER(G389)&amp;"."&amp;LOWER(H389))</x:f>
      </x:c>
      <x:c r="J389" s="37"/>
      <x:c r="K389" s="37"/>
      <x:c r="L389" s="46"/>
      <x:c r="M389" s="43"/>
      <x:c r="N389" s="43"/>
      <x:c r="O389" s="43"/>
      <x:c r="P389" s="58" t="str">
        <x:f>IF(N389="","","Estantería "&amp;N389&amp;IF(O389="",""," - Balda "&amp;N389&amp;O389))</x:f>
      </x:c>
      <x:c r="Q389" s="37"/>
      <x:c r="R389" s="37"/>
      <x:c r="S389" s="49"/>
      <x:c r="T389" s="37"/>
      <x:c r="U389" s="37"/>
      <x:c r="V389" s="37"/>
      <x:c r="W389" s="34"/>
      <x:c r="X389" s="52"/>
      <x:c r="Y389" s="61" t="str">
        <x:f>IF(A389="","",IF(COUNTIF($A$6:$A$605,A389)&gt;1,"DUPLICADO","OK"))</x:f>
      </x:c>
      <x:c r="Z389" s="61" t="str">
        <x:f>IF(A389="","",IF(C389="","FALTA TÍTULO",IF(E389="","FALTA ÁREA",IF(W389&lt;&gt;"Sí","PENDIENTE","LISTO"))))</x:f>
      </x:c>
    </x:row>
    <x:row r="390">
      <x:c r="A390" s="40"/>
      <x:c r="B390" s="40"/>
      <x:c r="C390" s="37"/>
      <x:c r="D390" s="37"/>
      <x:c r="E390" s="37"/>
      <x:c r="F390" s="43"/>
      <x:c r="G390" s="43"/>
      <x:c r="H390" s="43"/>
      <x:c r="I390" s="55" t="str">
        <x:f>IF(OR(F390="",G390="",H390=""),"",F390&amp;" "&amp;UPPER(G390)&amp;"."&amp;LOWER(H390))</x:f>
      </x:c>
      <x:c r="J390" s="37"/>
      <x:c r="K390" s="37"/>
      <x:c r="L390" s="46"/>
      <x:c r="M390" s="43"/>
      <x:c r="N390" s="43"/>
      <x:c r="O390" s="43"/>
      <x:c r="P390" s="58" t="str">
        <x:f>IF(N390="","","Estantería "&amp;N390&amp;IF(O390="",""," - Balda "&amp;N390&amp;O390))</x:f>
      </x:c>
      <x:c r="Q390" s="37"/>
      <x:c r="R390" s="37"/>
      <x:c r="S390" s="49"/>
      <x:c r="T390" s="37"/>
      <x:c r="U390" s="37"/>
      <x:c r="V390" s="37"/>
      <x:c r="W390" s="34"/>
      <x:c r="X390" s="52"/>
      <x:c r="Y390" s="61" t="str">
        <x:f>IF(A390="","",IF(COUNTIF($A$6:$A$605,A390)&gt;1,"DUPLICADO","OK"))</x:f>
      </x:c>
      <x:c r="Z390" s="61" t="str">
        <x:f>IF(A390="","",IF(C390="","FALTA TÍTULO",IF(E390="","FALTA ÁREA",IF(W390&lt;&gt;"Sí","PENDIENTE","LISTO"))))</x:f>
      </x:c>
    </x:row>
    <x:row r="391">
      <x:c r="A391" s="40"/>
      <x:c r="B391" s="40"/>
      <x:c r="C391" s="37"/>
      <x:c r="D391" s="37"/>
      <x:c r="E391" s="37"/>
      <x:c r="F391" s="43"/>
      <x:c r="G391" s="43"/>
      <x:c r="H391" s="43"/>
      <x:c r="I391" s="55" t="str">
        <x:f>IF(OR(F391="",G391="",H391=""),"",F391&amp;" "&amp;UPPER(G391)&amp;"."&amp;LOWER(H391))</x:f>
      </x:c>
      <x:c r="J391" s="37"/>
      <x:c r="K391" s="37"/>
      <x:c r="L391" s="46"/>
      <x:c r="M391" s="43"/>
      <x:c r="N391" s="43"/>
      <x:c r="O391" s="43"/>
      <x:c r="P391" s="58" t="str">
        <x:f>IF(N391="","","Estantería "&amp;N391&amp;IF(O391="",""," - Balda "&amp;N391&amp;O391))</x:f>
      </x:c>
      <x:c r="Q391" s="37"/>
      <x:c r="R391" s="37"/>
      <x:c r="S391" s="49"/>
      <x:c r="T391" s="37"/>
      <x:c r="U391" s="37"/>
      <x:c r="V391" s="37"/>
      <x:c r="W391" s="34"/>
      <x:c r="X391" s="52"/>
      <x:c r="Y391" s="61" t="str">
        <x:f>IF(A391="","",IF(COUNTIF($A$6:$A$605,A391)&gt;1,"DUPLICADO","OK"))</x:f>
      </x:c>
      <x:c r="Z391" s="61" t="str">
        <x:f>IF(A391="","",IF(C391="","FALTA TÍTULO",IF(E391="","FALTA ÁREA",IF(W391&lt;&gt;"Sí","PENDIENTE","LISTO"))))</x:f>
      </x:c>
    </x:row>
    <x:row r="392">
      <x:c r="A392" s="40"/>
      <x:c r="B392" s="40"/>
      <x:c r="C392" s="37"/>
      <x:c r="D392" s="37"/>
      <x:c r="E392" s="37"/>
      <x:c r="F392" s="43"/>
      <x:c r="G392" s="43"/>
      <x:c r="H392" s="43"/>
      <x:c r="I392" s="55" t="str">
        <x:f>IF(OR(F392="",G392="",H392=""),"",F392&amp;" "&amp;UPPER(G392)&amp;"."&amp;LOWER(H392))</x:f>
      </x:c>
      <x:c r="J392" s="37"/>
      <x:c r="K392" s="37"/>
      <x:c r="L392" s="46"/>
      <x:c r="M392" s="43"/>
      <x:c r="N392" s="43"/>
      <x:c r="O392" s="43"/>
      <x:c r="P392" s="58" t="str">
        <x:f>IF(N392="","","Estantería "&amp;N392&amp;IF(O392="",""," - Balda "&amp;N392&amp;O392))</x:f>
      </x:c>
      <x:c r="Q392" s="37"/>
      <x:c r="R392" s="37"/>
      <x:c r="S392" s="49"/>
      <x:c r="T392" s="37"/>
      <x:c r="U392" s="37"/>
      <x:c r="V392" s="37"/>
      <x:c r="W392" s="34"/>
      <x:c r="X392" s="52"/>
      <x:c r="Y392" s="61" t="str">
        <x:f>IF(A392="","",IF(COUNTIF($A$6:$A$605,A392)&gt;1,"DUPLICADO","OK"))</x:f>
      </x:c>
      <x:c r="Z392" s="61" t="str">
        <x:f>IF(A392="","",IF(C392="","FALTA TÍTULO",IF(E392="","FALTA ÁREA",IF(W392&lt;&gt;"Sí","PENDIENTE","LISTO"))))</x:f>
      </x:c>
    </x:row>
    <x:row r="393">
      <x:c r="A393" s="40"/>
      <x:c r="B393" s="40"/>
      <x:c r="C393" s="37"/>
      <x:c r="D393" s="37"/>
      <x:c r="E393" s="37"/>
      <x:c r="F393" s="43"/>
      <x:c r="G393" s="43"/>
      <x:c r="H393" s="43"/>
      <x:c r="I393" s="55" t="str">
        <x:f>IF(OR(F393="",G393="",H393=""),"",F393&amp;" "&amp;UPPER(G393)&amp;"."&amp;LOWER(H393))</x:f>
      </x:c>
      <x:c r="J393" s="37"/>
      <x:c r="K393" s="37"/>
      <x:c r="L393" s="46"/>
      <x:c r="M393" s="43"/>
      <x:c r="N393" s="43"/>
      <x:c r="O393" s="43"/>
      <x:c r="P393" s="58" t="str">
        <x:f>IF(N393="","","Estantería "&amp;N393&amp;IF(O393="",""," - Balda "&amp;N393&amp;O393))</x:f>
      </x:c>
      <x:c r="Q393" s="37"/>
      <x:c r="R393" s="37"/>
      <x:c r="S393" s="49"/>
      <x:c r="T393" s="37"/>
      <x:c r="U393" s="37"/>
      <x:c r="V393" s="37"/>
      <x:c r="W393" s="34"/>
      <x:c r="X393" s="52"/>
      <x:c r="Y393" s="61" t="str">
        <x:f>IF(A393="","",IF(COUNTIF($A$6:$A$605,A393)&gt;1,"DUPLICADO","OK"))</x:f>
      </x:c>
      <x:c r="Z393" s="61" t="str">
        <x:f>IF(A393="","",IF(C393="","FALTA TÍTULO",IF(E393="","FALTA ÁREA",IF(W393&lt;&gt;"Sí","PENDIENTE","LISTO"))))</x:f>
      </x:c>
    </x:row>
    <x:row r="394">
      <x:c r="A394" s="40"/>
      <x:c r="B394" s="40"/>
      <x:c r="C394" s="37"/>
      <x:c r="D394" s="37"/>
      <x:c r="E394" s="37"/>
      <x:c r="F394" s="43"/>
      <x:c r="G394" s="43"/>
      <x:c r="H394" s="43"/>
      <x:c r="I394" s="55" t="str">
        <x:f>IF(OR(F394="",G394="",H394=""),"",F394&amp;" "&amp;UPPER(G394)&amp;"."&amp;LOWER(H394))</x:f>
      </x:c>
      <x:c r="J394" s="37"/>
      <x:c r="K394" s="37"/>
      <x:c r="L394" s="46"/>
      <x:c r="M394" s="43"/>
      <x:c r="N394" s="43"/>
      <x:c r="O394" s="43"/>
      <x:c r="P394" s="58" t="str">
        <x:f>IF(N394="","","Estantería "&amp;N394&amp;IF(O394="",""," - Balda "&amp;N394&amp;O394))</x:f>
      </x:c>
      <x:c r="Q394" s="37"/>
      <x:c r="R394" s="37"/>
      <x:c r="S394" s="49"/>
      <x:c r="T394" s="37"/>
      <x:c r="U394" s="37"/>
      <x:c r="V394" s="37"/>
      <x:c r="W394" s="34"/>
      <x:c r="X394" s="52"/>
      <x:c r="Y394" s="61" t="str">
        <x:f>IF(A394="","",IF(COUNTIF($A$6:$A$605,A394)&gt;1,"DUPLICADO","OK"))</x:f>
      </x:c>
      <x:c r="Z394" s="61" t="str">
        <x:f>IF(A394="","",IF(C394="","FALTA TÍTULO",IF(E394="","FALTA ÁREA",IF(W394&lt;&gt;"Sí","PENDIENTE","LISTO"))))</x:f>
      </x:c>
    </x:row>
    <x:row r="395">
      <x:c r="A395" s="40"/>
      <x:c r="B395" s="40"/>
      <x:c r="C395" s="37"/>
      <x:c r="D395" s="37"/>
      <x:c r="E395" s="37"/>
      <x:c r="F395" s="43"/>
      <x:c r="G395" s="43"/>
      <x:c r="H395" s="43"/>
      <x:c r="I395" s="55" t="str">
        <x:f>IF(OR(F395="",G395="",H395=""),"",F395&amp;" "&amp;UPPER(G395)&amp;"."&amp;LOWER(H395))</x:f>
      </x:c>
      <x:c r="J395" s="37"/>
      <x:c r="K395" s="37"/>
      <x:c r="L395" s="46"/>
      <x:c r="M395" s="43"/>
      <x:c r="N395" s="43"/>
      <x:c r="O395" s="43"/>
      <x:c r="P395" s="58" t="str">
        <x:f>IF(N395="","","Estantería "&amp;N395&amp;IF(O395="",""," - Balda "&amp;N395&amp;O395))</x:f>
      </x:c>
      <x:c r="Q395" s="37"/>
      <x:c r="R395" s="37"/>
      <x:c r="S395" s="49"/>
      <x:c r="T395" s="37"/>
      <x:c r="U395" s="37"/>
      <x:c r="V395" s="37"/>
      <x:c r="W395" s="34"/>
      <x:c r="X395" s="52"/>
      <x:c r="Y395" s="61" t="str">
        <x:f>IF(A395="","",IF(COUNTIF($A$6:$A$605,A395)&gt;1,"DUPLICADO","OK"))</x:f>
      </x:c>
      <x:c r="Z395" s="61" t="str">
        <x:f>IF(A395="","",IF(C395="","FALTA TÍTULO",IF(E395="","FALTA ÁREA",IF(W395&lt;&gt;"Sí","PENDIENTE","LISTO"))))</x:f>
      </x:c>
    </x:row>
    <x:row r="396">
      <x:c r="A396" s="40"/>
      <x:c r="B396" s="40"/>
      <x:c r="C396" s="37"/>
      <x:c r="D396" s="37"/>
      <x:c r="E396" s="37"/>
      <x:c r="F396" s="43"/>
      <x:c r="G396" s="43"/>
      <x:c r="H396" s="43"/>
      <x:c r="I396" s="55" t="str">
        <x:f>IF(OR(F396="",G396="",H396=""),"",F396&amp;" "&amp;UPPER(G396)&amp;"."&amp;LOWER(H396))</x:f>
      </x:c>
      <x:c r="J396" s="37"/>
      <x:c r="K396" s="37"/>
      <x:c r="L396" s="46"/>
      <x:c r="M396" s="43"/>
      <x:c r="N396" s="43"/>
      <x:c r="O396" s="43"/>
      <x:c r="P396" s="58" t="str">
        <x:f>IF(N396="","","Estantería "&amp;N396&amp;IF(O396="",""," - Balda "&amp;N396&amp;O396))</x:f>
      </x:c>
      <x:c r="Q396" s="37"/>
      <x:c r="R396" s="37"/>
      <x:c r="S396" s="49"/>
      <x:c r="T396" s="37"/>
      <x:c r="U396" s="37"/>
      <x:c r="V396" s="37"/>
      <x:c r="W396" s="34"/>
      <x:c r="X396" s="52"/>
      <x:c r="Y396" s="61" t="str">
        <x:f>IF(A396="","",IF(COUNTIF($A$6:$A$605,A396)&gt;1,"DUPLICADO","OK"))</x:f>
      </x:c>
      <x:c r="Z396" s="61" t="str">
        <x:f>IF(A396="","",IF(C396="","FALTA TÍTULO",IF(E396="","FALTA ÁREA",IF(W396&lt;&gt;"Sí","PENDIENTE","LISTO"))))</x:f>
      </x:c>
    </x:row>
    <x:row r="397">
      <x:c r="A397" s="40"/>
      <x:c r="B397" s="40"/>
      <x:c r="C397" s="37"/>
      <x:c r="D397" s="37"/>
      <x:c r="E397" s="37"/>
      <x:c r="F397" s="43"/>
      <x:c r="G397" s="43"/>
      <x:c r="H397" s="43"/>
      <x:c r="I397" s="55" t="str">
        <x:f>IF(OR(F397="",G397="",H397=""),"",F397&amp;" "&amp;UPPER(G397)&amp;"."&amp;LOWER(H397))</x:f>
      </x:c>
      <x:c r="J397" s="37"/>
      <x:c r="K397" s="37"/>
      <x:c r="L397" s="46"/>
      <x:c r="M397" s="43"/>
      <x:c r="N397" s="43"/>
      <x:c r="O397" s="43"/>
      <x:c r="P397" s="58" t="str">
        <x:f>IF(N397="","","Estantería "&amp;N397&amp;IF(O397="",""," - Balda "&amp;N397&amp;O397))</x:f>
      </x:c>
      <x:c r="Q397" s="37"/>
      <x:c r="R397" s="37"/>
      <x:c r="S397" s="49"/>
      <x:c r="T397" s="37"/>
      <x:c r="U397" s="37"/>
      <x:c r="V397" s="37"/>
      <x:c r="W397" s="34"/>
      <x:c r="X397" s="52"/>
      <x:c r="Y397" s="61" t="str">
        <x:f>IF(A397="","",IF(COUNTIF($A$6:$A$605,A397)&gt;1,"DUPLICADO","OK"))</x:f>
      </x:c>
      <x:c r="Z397" s="61" t="str">
        <x:f>IF(A397="","",IF(C397="","FALTA TÍTULO",IF(E397="","FALTA ÁREA",IF(W397&lt;&gt;"Sí","PENDIENTE","LISTO"))))</x:f>
      </x:c>
    </x:row>
    <x:row r="398">
      <x:c r="A398" s="40"/>
      <x:c r="B398" s="40"/>
      <x:c r="C398" s="37"/>
      <x:c r="D398" s="37"/>
      <x:c r="E398" s="37"/>
      <x:c r="F398" s="43"/>
      <x:c r="G398" s="43"/>
      <x:c r="H398" s="43"/>
      <x:c r="I398" s="55" t="str">
        <x:f>IF(OR(F398="",G398="",H398=""),"",F398&amp;" "&amp;UPPER(G398)&amp;"."&amp;LOWER(H398))</x:f>
      </x:c>
      <x:c r="J398" s="37"/>
      <x:c r="K398" s="37"/>
      <x:c r="L398" s="46"/>
      <x:c r="M398" s="43"/>
      <x:c r="N398" s="43"/>
      <x:c r="O398" s="43"/>
      <x:c r="P398" s="58" t="str">
        <x:f>IF(N398="","","Estantería "&amp;N398&amp;IF(O398="",""," - Balda "&amp;N398&amp;O398))</x:f>
      </x:c>
      <x:c r="Q398" s="37"/>
      <x:c r="R398" s="37"/>
      <x:c r="S398" s="49"/>
      <x:c r="T398" s="37"/>
      <x:c r="U398" s="37"/>
      <x:c r="V398" s="37"/>
      <x:c r="W398" s="34"/>
      <x:c r="X398" s="52"/>
      <x:c r="Y398" s="61" t="str">
        <x:f>IF(A398="","",IF(COUNTIF($A$6:$A$605,A398)&gt;1,"DUPLICADO","OK"))</x:f>
      </x:c>
      <x:c r="Z398" s="61" t="str">
        <x:f>IF(A398="","",IF(C398="","FALTA TÍTULO",IF(E398="","FALTA ÁREA",IF(W398&lt;&gt;"Sí","PENDIENTE","LISTO"))))</x:f>
      </x:c>
    </x:row>
    <x:row r="399">
      <x:c r="A399" s="40"/>
      <x:c r="B399" s="40"/>
      <x:c r="C399" s="37"/>
      <x:c r="D399" s="37"/>
      <x:c r="E399" s="37"/>
      <x:c r="F399" s="43"/>
      <x:c r="G399" s="43"/>
      <x:c r="H399" s="43"/>
      <x:c r="I399" s="55" t="str">
        <x:f>IF(OR(F399="",G399="",H399=""),"",F399&amp;" "&amp;UPPER(G399)&amp;"."&amp;LOWER(H399))</x:f>
      </x:c>
      <x:c r="J399" s="37"/>
      <x:c r="K399" s="37"/>
      <x:c r="L399" s="46"/>
      <x:c r="M399" s="43"/>
      <x:c r="N399" s="43"/>
      <x:c r="O399" s="43"/>
      <x:c r="P399" s="58" t="str">
        <x:f>IF(N399="","","Estantería "&amp;N399&amp;IF(O399="",""," - Balda "&amp;N399&amp;O399))</x:f>
      </x:c>
      <x:c r="Q399" s="37"/>
      <x:c r="R399" s="37"/>
      <x:c r="S399" s="49"/>
      <x:c r="T399" s="37"/>
      <x:c r="U399" s="37"/>
      <x:c r="V399" s="37"/>
      <x:c r="W399" s="34"/>
      <x:c r="X399" s="52"/>
      <x:c r="Y399" s="61" t="str">
        <x:f>IF(A399="","",IF(COUNTIF($A$6:$A$605,A399)&gt;1,"DUPLICADO","OK"))</x:f>
      </x:c>
      <x:c r="Z399" s="61" t="str">
        <x:f>IF(A399="","",IF(C399="","FALTA TÍTULO",IF(E399="","FALTA ÁREA",IF(W399&lt;&gt;"Sí","PENDIENTE","LISTO"))))</x:f>
      </x:c>
    </x:row>
    <x:row r="400">
      <x:c r="A400" s="40"/>
      <x:c r="B400" s="40"/>
      <x:c r="C400" s="37"/>
      <x:c r="D400" s="37"/>
      <x:c r="E400" s="37"/>
      <x:c r="F400" s="43"/>
      <x:c r="G400" s="43"/>
      <x:c r="H400" s="43"/>
      <x:c r="I400" s="55" t="str">
        <x:f>IF(OR(F400="",G400="",H400=""),"",F400&amp;" "&amp;UPPER(G400)&amp;"."&amp;LOWER(H400))</x:f>
      </x:c>
      <x:c r="J400" s="37"/>
      <x:c r="K400" s="37"/>
      <x:c r="L400" s="46"/>
      <x:c r="M400" s="43"/>
      <x:c r="N400" s="43"/>
      <x:c r="O400" s="43"/>
      <x:c r="P400" s="58" t="str">
        <x:f>IF(N400="","","Estantería "&amp;N400&amp;IF(O400="",""," - Balda "&amp;N400&amp;O400))</x:f>
      </x:c>
      <x:c r="Q400" s="37"/>
      <x:c r="R400" s="37"/>
      <x:c r="S400" s="49"/>
      <x:c r="T400" s="37"/>
      <x:c r="U400" s="37"/>
      <x:c r="V400" s="37"/>
      <x:c r="W400" s="34"/>
      <x:c r="X400" s="52"/>
      <x:c r="Y400" s="61" t="str">
        <x:f>IF(A400="","",IF(COUNTIF($A$6:$A$605,A400)&gt;1,"DUPLICADO","OK"))</x:f>
      </x:c>
      <x:c r="Z400" s="61" t="str">
        <x:f>IF(A400="","",IF(C400="","FALTA TÍTULO",IF(E400="","FALTA ÁREA",IF(W400&lt;&gt;"Sí","PENDIENTE","LISTO"))))</x:f>
      </x:c>
    </x:row>
    <x:row r="401">
      <x:c r="A401" s="40"/>
      <x:c r="B401" s="40"/>
      <x:c r="C401" s="37"/>
      <x:c r="D401" s="37"/>
      <x:c r="E401" s="37"/>
      <x:c r="F401" s="43"/>
      <x:c r="G401" s="43"/>
      <x:c r="H401" s="43"/>
      <x:c r="I401" s="55" t="str">
        <x:f>IF(OR(F401="",G401="",H401=""),"",F401&amp;" "&amp;UPPER(G401)&amp;"."&amp;LOWER(H401))</x:f>
      </x:c>
      <x:c r="J401" s="37"/>
      <x:c r="K401" s="37"/>
      <x:c r="L401" s="46"/>
      <x:c r="M401" s="43"/>
      <x:c r="N401" s="43"/>
      <x:c r="O401" s="43"/>
      <x:c r="P401" s="58" t="str">
        <x:f>IF(N401="","","Estantería "&amp;N401&amp;IF(O401="",""," - Balda "&amp;N401&amp;O401))</x:f>
      </x:c>
      <x:c r="Q401" s="37"/>
      <x:c r="R401" s="37"/>
      <x:c r="S401" s="49"/>
      <x:c r="T401" s="37"/>
      <x:c r="U401" s="37"/>
      <x:c r="V401" s="37"/>
      <x:c r="W401" s="34"/>
      <x:c r="X401" s="52"/>
      <x:c r="Y401" s="61" t="str">
        <x:f>IF(A401="","",IF(COUNTIF($A$6:$A$605,A401)&gt;1,"DUPLICADO","OK"))</x:f>
      </x:c>
      <x:c r="Z401" s="61" t="str">
        <x:f>IF(A401="","",IF(C401="","FALTA TÍTULO",IF(E401="","FALTA ÁREA",IF(W401&lt;&gt;"Sí","PENDIENTE","LISTO"))))</x:f>
      </x:c>
    </x:row>
    <x:row r="402">
      <x:c r="A402" s="40"/>
      <x:c r="B402" s="40"/>
      <x:c r="C402" s="37"/>
      <x:c r="D402" s="37"/>
      <x:c r="E402" s="37"/>
      <x:c r="F402" s="43"/>
      <x:c r="G402" s="43"/>
      <x:c r="H402" s="43"/>
      <x:c r="I402" s="55" t="str">
        <x:f>IF(OR(F402="",G402="",H402=""),"",F402&amp;" "&amp;UPPER(G402)&amp;"."&amp;LOWER(H402))</x:f>
      </x:c>
      <x:c r="J402" s="37"/>
      <x:c r="K402" s="37"/>
      <x:c r="L402" s="46"/>
      <x:c r="M402" s="43"/>
      <x:c r="N402" s="43"/>
      <x:c r="O402" s="43"/>
      <x:c r="P402" s="58" t="str">
        <x:f>IF(N402="","","Estantería "&amp;N402&amp;IF(O402="",""," - Balda "&amp;N402&amp;O402))</x:f>
      </x:c>
      <x:c r="Q402" s="37"/>
      <x:c r="R402" s="37"/>
      <x:c r="S402" s="49"/>
      <x:c r="T402" s="37"/>
      <x:c r="U402" s="37"/>
      <x:c r="V402" s="37"/>
      <x:c r="W402" s="34"/>
      <x:c r="X402" s="52"/>
      <x:c r="Y402" s="61" t="str">
        <x:f>IF(A402="","",IF(COUNTIF($A$6:$A$605,A402)&gt;1,"DUPLICADO","OK"))</x:f>
      </x:c>
      <x:c r="Z402" s="61" t="str">
        <x:f>IF(A402="","",IF(C402="","FALTA TÍTULO",IF(E402="","FALTA ÁREA",IF(W402&lt;&gt;"Sí","PENDIENTE","LISTO"))))</x:f>
      </x:c>
    </x:row>
    <x:row r="403">
      <x:c r="A403" s="40"/>
      <x:c r="B403" s="40"/>
      <x:c r="C403" s="37"/>
      <x:c r="D403" s="37"/>
      <x:c r="E403" s="37"/>
      <x:c r="F403" s="43"/>
      <x:c r="G403" s="43"/>
      <x:c r="H403" s="43"/>
      <x:c r="I403" s="55" t="str">
        <x:f>IF(OR(F403="",G403="",H403=""),"",F403&amp;" "&amp;UPPER(G403)&amp;"."&amp;LOWER(H403))</x:f>
      </x:c>
      <x:c r="J403" s="37"/>
      <x:c r="K403" s="37"/>
      <x:c r="L403" s="46"/>
      <x:c r="M403" s="43"/>
      <x:c r="N403" s="43"/>
      <x:c r="O403" s="43"/>
      <x:c r="P403" s="58" t="str">
        <x:f>IF(N403="","","Estantería "&amp;N403&amp;IF(O403="",""," - Balda "&amp;N403&amp;O403))</x:f>
      </x:c>
      <x:c r="Q403" s="37"/>
      <x:c r="R403" s="37"/>
      <x:c r="S403" s="49"/>
      <x:c r="T403" s="37"/>
      <x:c r="U403" s="37"/>
      <x:c r="V403" s="37"/>
      <x:c r="W403" s="34"/>
      <x:c r="X403" s="52"/>
      <x:c r="Y403" s="61" t="str">
        <x:f>IF(A403="","",IF(COUNTIF($A$6:$A$605,A403)&gt;1,"DUPLICADO","OK"))</x:f>
      </x:c>
      <x:c r="Z403" s="61" t="str">
        <x:f>IF(A403="","",IF(C403="","FALTA TÍTULO",IF(E403="","FALTA ÁREA",IF(W403&lt;&gt;"Sí","PENDIENTE","LISTO"))))</x:f>
      </x:c>
    </x:row>
    <x:row r="404">
      <x:c r="A404" s="40"/>
      <x:c r="B404" s="40"/>
      <x:c r="C404" s="37"/>
      <x:c r="D404" s="37"/>
      <x:c r="E404" s="37"/>
      <x:c r="F404" s="43"/>
      <x:c r="G404" s="43"/>
      <x:c r="H404" s="43"/>
      <x:c r="I404" s="55" t="str">
        <x:f>IF(OR(F404="",G404="",H404=""),"",F404&amp;" "&amp;UPPER(G404)&amp;"."&amp;LOWER(H404))</x:f>
      </x:c>
      <x:c r="J404" s="37"/>
      <x:c r="K404" s="37"/>
      <x:c r="L404" s="46"/>
      <x:c r="M404" s="43"/>
      <x:c r="N404" s="43"/>
      <x:c r="O404" s="43"/>
      <x:c r="P404" s="58" t="str">
        <x:f>IF(N404="","","Estantería "&amp;N404&amp;IF(O404="",""," - Balda "&amp;N404&amp;O404))</x:f>
      </x:c>
      <x:c r="Q404" s="37"/>
      <x:c r="R404" s="37"/>
      <x:c r="S404" s="49"/>
      <x:c r="T404" s="37"/>
      <x:c r="U404" s="37"/>
      <x:c r="V404" s="37"/>
      <x:c r="W404" s="34"/>
      <x:c r="X404" s="52"/>
      <x:c r="Y404" s="61" t="str">
        <x:f>IF(A404="","",IF(COUNTIF($A$6:$A$605,A404)&gt;1,"DUPLICADO","OK"))</x:f>
      </x:c>
      <x:c r="Z404" s="61" t="str">
        <x:f>IF(A404="","",IF(C404="","FALTA TÍTULO",IF(E404="","FALTA ÁREA",IF(W404&lt;&gt;"Sí","PENDIENTE","LISTO"))))</x:f>
      </x:c>
    </x:row>
    <x:row r="405">
      <x:c r="A405" s="40"/>
      <x:c r="B405" s="40"/>
      <x:c r="C405" s="37"/>
      <x:c r="D405" s="37"/>
      <x:c r="E405" s="37"/>
      <x:c r="F405" s="43"/>
      <x:c r="G405" s="43"/>
      <x:c r="H405" s="43"/>
      <x:c r="I405" s="55" t="str">
        <x:f>IF(OR(F405="",G405="",H405=""),"",F405&amp;" "&amp;UPPER(G405)&amp;"."&amp;LOWER(H405))</x:f>
      </x:c>
      <x:c r="J405" s="37"/>
      <x:c r="K405" s="37"/>
      <x:c r="L405" s="46"/>
      <x:c r="M405" s="43"/>
      <x:c r="N405" s="43"/>
      <x:c r="O405" s="43"/>
      <x:c r="P405" s="58" t="str">
        <x:f>IF(N405="","","Estantería "&amp;N405&amp;IF(O405="",""," - Balda "&amp;N405&amp;O405))</x:f>
      </x:c>
      <x:c r="Q405" s="37"/>
      <x:c r="R405" s="37"/>
      <x:c r="S405" s="49"/>
      <x:c r="T405" s="37"/>
      <x:c r="U405" s="37"/>
      <x:c r="V405" s="37"/>
      <x:c r="W405" s="34"/>
      <x:c r="X405" s="52"/>
      <x:c r="Y405" s="61" t="str">
        <x:f>IF(A405="","",IF(COUNTIF($A$6:$A$605,A405)&gt;1,"DUPLICADO","OK"))</x:f>
      </x:c>
      <x:c r="Z405" s="61" t="str">
        <x:f>IF(A405="","",IF(C405="","FALTA TÍTULO",IF(E405="","FALTA ÁREA",IF(W405&lt;&gt;"Sí","PENDIENTE","LISTO"))))</x:f>
      </x:c>
    </x:row>
    <x:row r="406">
      <x:c r="A406" s="40"/>
      <x:c r="B406" s="40"/>
      <x:c r="C406" s="37"/>
      <x:c r="D406" s="37"/>
      <x:c r="E406" s="37"/>
      <x:c r="F406" s="43"/>
      <x:c r="G406" s="43"/>
      <x:c r="H406" s="43"/>
      <x:c r="I406" s="55" t="str">
        <x:f>IF(OR(F406="",G406="",H406=""),"",F406&amp;" "&amp;UPPER(G406)&amp;"."&amp;LOWER(H406))</x:f>
      </x:c>
      <x:c r="J406" s="37"/>
      <x:c r="K406" s="37"/>
      <x:c r="L406" s="46"/>
      <x:c r="M406" s="43"/>
      <x:c r="N406" s="43"/>
      <x:c r="O406" s="43"/>
      <x:c r="P406" s="58" t="str">
        <x:f>IF(N406="","","Estantería "&amp;N406&amp;IF(O406="",""," - Balda "&amp;N406&amp;O406))</x:f>
      </x:c>
      <x:c r="Q406" s="37"/>
      <x:c r="R406" s="37"/>
      <x:c r="S406" s="49"/>
      <x:c r="T406" s="37"/>
      <x:c r="U406" s="37"/>
      <x:c r="V406" s="37"/>
      <x:c r="W406" s="34"/>
      <x:c r="X406" s="52"/>
      <x:c r="Y406" s="61" t="str">
        <x:f>IF(A406="","",IF(COUNTIF($A$6:$A$605,A406)&gt;1,"DUPLICADO","OK"))</x:f>
      </x:c>
      <x:c r="Z406" s="61" t="str">
        <x:f>IF(A406="","",IF(C406="","FALTA TÍTULO",IF(E406="","FALTA ÁREA",IF(W406&lt;&gt;"Sí","PENDIENTE","LISTO"))))</x:f>
      </x:c>
    </x:row>
    <x:row r="407">
      <x:c r="A407" s="40"/>
      <x:c r="B407" s="40"/>
      <x:c r="C407" s="37"/>
      <x:c r="D407" s="37"/>
      <x:c r="E407" s="37"/>
      <x:c r="F407" s="43"/>
      <x:c r="G407" s="43"/>
      <x:c r="H407" s="43"/>
      <x:c r="I407" s="55" t="str">
        <x:f>IF(OR(F407="",G407="",H407=""),"",F407&amp;" "&amp;UPPER(G407)&amp;"."&amp;LOWER(H407))</x:f>
      </x:c>
      <x:c r="J407" s="37"/>
      <x:c r="K407" s="37"/>
      <x:c r="L407" s="46"/>
      <x:c r="M407" s="43"/>
      <x:c r="N407" s="43"/>
      <x:c r="O407" s="43"/>
      <x:c r="P407" s="58" t="str">
        <x:f>IF(N407="","","Estantería "&amp;N407&amp;IF(O407="",""," - Balda "&amp;N407&amp;O407))</x:f>
      </x:c>
      <x:c r="Q407" s="37"/>
      <x:c r="R407" s="37"/>
      <x:c r="S407" s="49"/>
      <x:c r="T407" s="37"/>
      <x:c r="U407" s="37"/>
      <x:c r="V407" s="37"/>
      <x:c r="W407" s="34"/>
      <x:c r="X407" s="52"/>
      <x:c r="Y407" s="61" t="str">
        <x:f>IF(A407="","",IF(COUNTIF($A$6:$A$605,A407)&gt;1,"DUPLICADO","OK"))</x:f>
      </x:c>
      <x:c r="Z407" s="61" t="str">
        <x:f>IF(A407="","",IF(C407="","FALTA TÍTULO",IF(E407="","FALTA ÁREA",IF(W407&lt;&gt;"Sí","PENDIENTE","LISTO"))))</x:f>
      </x:c>
    </x:row>
    <x:row r="408">
      <x:c r="A408" s="40"/>
      <x:c r="B408" s="40"/>
      <x:c r="C408" s="37"/>
      <x:c r="D408" s="37"/>
      <x:c r="E408" s="37"/>
      <x:c r="F408" s="43"/>
      <x:c r="G408" s="43"/>
      <x:c r="H408" s="43"/>
      <x:c r="I408" s="55" t="str">
        <x:f>IF(OR(F408="",G408="",H408=""),"",F408&amp;" "&amp;UPPER(G408)&amp;"."&amp;LOWER(H408))</x:f>
      </x:c>
      <x:c r="J408" s="37"/>
      <x:c r="K408" s="37"/>
      <x:c r="L408" s="46"/>
      <x:c r="M408" s="43"/>
      <x:c r="N408" s="43"/>
      <x:c r="O408" s="43"/>
      <x:c r="P408" s="58" t="str">
        <x:f>IF(N408="","","Estantería "&amp;N408&amp;IF(O408="",""," - Balda "&amp;N408&amp;O408))</x:f>
      </x:c>
      <x:c r="Q408" s="37"/>
      <x:c r="R408" s="37"/>
      <x:c r="S408" s="49"/>
      <x:c r="T408" s="37"/>
      <x:c r="U408" s="37"/>
      <x:c r="V408" s="37"/>
      <x:c r="W408" s="34"/>
      <x:c r="X408" s="52"/>
      <x:c r="Y408" s="61" t="str">
        <x:f>IF(A408="","",IF(COUNTIF($A$6:$A$605,A408)&gt;1,"DUPLICADO","OK"))</x:f>
      </x:c>
      <x:c r="Z408" s="61" t="str">
        <x:f>IF(A408="","",IF(C408="","FALTA TÍTULO",IF(E408="","FALTA ÁREA",IF(W408&lt;&gt;"Sí","PENDIENTE","LISTO"))))</x:f>
      </x:c>
    </x:row>
    <x:row r="409">
      <x:c r="A409" s="40"/>
      <x:c r="B409" s="40"/>
      <x:c r="C409" s="37"/>
      <x:c r="D409" s="37"/>
      <x:c r="E409" s="37"/>
      <x:c r="F409" s="43"/>
      <x:c r="G409" s="43"/>
      <x:c r="H409" s="43"/>
      <x:c r="I409" s="55" t="str">
        <x:f>IF(OR(F409="",G409="",H409=""),"",F409&amp;" "&amp;UPPER(G409)&amp;"."&amp;LOWER(H409))</x:f>
      </x:c>
      <x:c r="J409" s="37"/>
      <x:c r="K409" s="37"/>
      <x:c r="L409" s="46"/>
      <x:c r="M409" s="43"/>
      <x:c r="N409" s="43"/>
      <x:c r="O409" s="43"/>
      <x:c r="P409" s="58" t="str">
        <x:f>IF(N409="","","Estantería "&amp;N409&amp;IF(O409="",""," - Balda "&amp;N409&amp;O409))</x:f>
      </x:c>
      <x:c r="Q409" s="37"/>
      <x:c r="R409" s="37"/>
      <x:c r="S409" s="49"/>
      <x:c r="T409" s="37"/>
      <x:c r="U409" s="37"/>
      <x:c r="V409" s="37"/>
      <x:c r="W409" s="34"/>
      <x:c r="X409" s="52"/>
      <x:c r="Y409" s="61" t="str">
        <x:f>IF(A409="","",IF(COUNTIF($A$6:$A$605,A409)&gt;1,"DUPLICADO","OK"))</x:f>
      </x:c>
      <x:c r="Z409" s="61" t="str">
        <x:f>IF(A409="","",IF(C409="","FALTA TÍTULO",IF(E409="","FALTA ÁREA",IF(W409&lt;&gt;"Sí","PENDIENTE","LISTO"))))</x:f>
      </x:c>
    </x:row>
    <x:row r="410">
      <x:c r="A410" s="40"/>
      <x:c r="B410" s="40"/>
      <x:c r="C410" s="37"/>
      <x:c r="D410" s="37"/>
      <x:c r="E410" s="37"/>
      <x:c r="F410" s="43"/>
      <x:c r="G410" s="43"/>
      <x:c r="H410" s="43"/>
      <x:c r="I410" s="55" t="str">
        <x:f>IF(OR(F410="",G410="",H410=""),"",F410&amp;" "&amp;UPPER(G410)&amp;"."&amp;LOWER(H410))</x:f>
      </x:c>
      <x:c r="J410" s="37"/>
      <x:c r="K410" s="37"/>
      <x:c r="L410" s="46"/>
      <x:c r="M410" s="43"/>
      <x:c r="N410" s="43"/>
      <x:c r="O410" s="43"/>
      <x:c r="P410" s="58" t="str">
        <x:f>IF(N410="","","Estantería "&amp;N410&amp;IF(O410="",""," - Balda "&amp;N410&amp;O410))</x:f>
      </x:c>
      <x:c r="Q410" s="37"/>
      <x:c r="R410" s="37"/>
      <x:c r="S410" s="49"/>
      <x:c r="T410" s="37"/>
      <x:c r="U410" s="37"/>
      <x:c r="V410" s="37"/>
      <x:c r="W410" s="34"/>
      <x:c r="X410" s="52"/>
      <x:c r="Y410" s="61" t="str">
        <x:f>IF(A410="","",IF(COUNTIF($A$6:$A$605,A410)&gt;1,"DUPLICADO","OK"))</x:f>
      </x:c>
      <x:c r="Z410" s="61" t="str">
        <x:f>IF(A410="","",IF(C410="","FALTA TÍTULO",IF(E410="","FALTA ÁREA",IF(W410&lt;&gt;"Sí","PENDIENTE","LISTO"))))</x:f>
      </x:c>
    </x:row>
    <x:row r="411">
      <x:c r="A411" s="40"/>
      <x:c r="B411" s="40"/>
      <x:c r="C411" s="37"/>
      <x:c r="D411" s="37"/>
      <x:c r="E411" s="37"/>
      <x:c r="F411" s="43"/>
      <x:c r="G411" s="43"/>
      <x:c r="H411" s="43"/>
      <x:c r="I411" s="55" t="str">
        <x:f>IF(OR(F411="",G411="",H411=""),"",F411&amp;" "&amp;UPPER(G411)&amp;"."&amp;LOWER(H411))</x:f>
      </x:c>
      <x:c r="J411" s="37"/>
      <x:c r="K411" s="37"/>
      <x:c r="L411" s="46"/>
      <x:c r="M411" s="43"/>
      <x:c r="N411" s="43"/>
      <x:c r="O411" s="43"/>
      <x:c r="P411" s="58" t="str">
        <x:f>IF(N411="","","Estantería "&amp;N411&amp;IF(O411="",""," - Balda "&amp;N411&amp;O411))</x:f>
      </x:c>
      <x:c r="Q411" s="37"/>
      <x:c r="R411" s="37"/>
      <x:c r="S411" s="49"/>
      <x:c r="T411" s="37"/>
      <x:c r="U411" s="37"/>
      <x:c r="V411" s="37"/>
      <x:c r="W411" s="34"/>
      <x:c r="X411" s="52"/>
      <x:c r="Y411" s="61" t="str">
        <x:f>IF(A411="","",IF(COUNTIF($A$6:$A$605,A411)&gt;1,"DUPLICADO","OK"))</x:f>
      </x:c>
      <x:c r="Z411" s="61" t="str">
        <x:f>IF(A411="","",IF(C411="","FALTA TÍTULO",IF(E411="","FALTA ÁREA",IF(W411&lt;&gt;"Sí","PENDIENTE","LISTO"))))</x:f>
      </x:c>
    </x:row>
    <x:row r="412">
      <x:c r="A412" s="40"/>
      <x:c r="B412" s="40"/>
      <x:c r="C412" s="37"/>
      <x:c r="D412" s="37"/>
      <x:c r="E412" s="37"/>
      <x:c r="F412" s="43"/>
      <x:c r="G412" s="43"/>
      <x:c r="H412" s="43"/>
      <x:c r="I412" s="55" t="str">
        <x:f>IF(OR(F412="",G412="",H412=""),"",F412&amp;" "&amp;UPPER(G412)&amp;"."&amp;LOWER(H412))</x:f>
      </x:c>
      <x:c r="J412" s="37"/>
      <x:c r="K412" s="37"/>
      <x:c r="L412" s="46"/>
      <x:c r="M412" s="43"/>
      <x:c r="N412" s="43"/>
      <x:c r="O412" s="43"/>
      <x:c r="P412" s="58" t="str">
        <x:f>IF(N412="","","Estantería "&amp;N412&amp;IF(O412="",""," - Balda "&amp;N412&amp;O412))</x:f>
      </x:c>
      <x:c r="Q412" s="37"/>
      <x:c r="R412" s="37"/>
      <x:c r="S412" s="49"/>
      <x:c r="T412" s="37"/>
      <x:c r="U412" s="37"/>
      <x:c r="V412" s="37"/>
      <x:c r="W412" s="34"/>
      <x:c r="X412" s="52"/>
      <x:c r="Y412" s="61" t="str">
        <x:f>IF(A412="","",IF(COUNTIF($A$6:$A$605,A412)&gt;1,"DUPLICADO","OK"))</x:f>
      </x:c>
      <x:c r="Z412" s="61" t="str">
        <x:f>IF(A412="","",IF(C412="","FALTA TÍTULO",IF(E412="","FALTA ÁREA",IF(W412&lt;&gt;"Sí","PENDIENTE","LISTO"))))</x:f>
      </x:c>
    </x:row>
    <x:row r="413">
      <x:c r="A413" s="40"/>
      <x:c r="B413" s="40"/>
      <x:c r="C413" s="37"/>
      <x:c r="D413" s="37"/>
      <x:c r="E413" s="37"/>
      <x:c r="F413" s="43"/>
      <x:c r="G413" s="43"/>
      <x:c r="H413" s="43"/>
      <x:c r="I413" s="55" t="str">
        <x:f>IF(OR(F413="",G413="",H413=""),"",F413&amp;" "&amp;UPPER(G413)&amp;"."&amp;LOWER(H413))</x:f>
      </x:c>
      <x:c r="J413" s="37"/>
      <x:c r="K413" s="37"/>
      <x:c r="L413" s="46"/>
      <x:c r="M413" s="43"/>
      <x:c r="N413" s="43"/>
      <x:c r="O413" s="43"/>
      <x:c r="P413" s="58" t="str">
        <x:f>IF(N413="","","Estantería "&amp;N413&amp;IF(O413="",""," - Balda "&amp;N413&amp;O413))</x:f>
      </x:c>
      <x:c r="Q413" s="37"/>
      <x:c r="R413" s="37"/>
      <x:c r="S413" s="49"/>
      <x:c r="T413" s="37"/>
      <x:c r="U413" s="37"/>
      <x:c r="V413" s="37"/>
      <x:c r="W413" s="34"/>
      <x:c r="X413" s="52"/>
      <x:c r="Y413" s="61" t="str">
        <x:f>IF(A413="","",IF(COUNTIF($A$6:$A$605,A413)&gt;1,"DUPLICADO","OK"))</x:f>
      </x:c>
      <x:c r="Z413" s="61" t="str">
        <x:f>IF(A413="","",IF(C413="","FALTA TÍTULO",IF(E413="","FALTA ÁREA",IF(W413&lt;&gt;"Sí","PENDIENTE","LISTO"))))</x:f>
      </x:c>
    </x:row>
    <x:row r="414">
      <x:c r="A414" s="40"/>
      <x:c r="B414" s="40"/>
      <x:c r="C414" s="37"/>
      <x:c r="D414" s="37"/>
      <x:c r="E414" s="37"/>
      <x:c r="F414" s="43"/>
      <x:c r="G414" s="43"/>
      <x:c r="H414" s="43"/>
      <x:c r="I414" s="55" t="str">
        <x:f>IF(OR(F414="",G414="",H414=""),"",F414&amp;" "&amp;UPPER(G414)&amp;"."&amp;LOWER(H414))</x:f>
      </x:c>
      <x:c r="J414" s="37"/>
      <x:c r="K414" s="37"/>
      <x:c r="L414" s="46"/>
      <x:c r="M414" s="43"/>
      <x:c r="N414" s="43"/>
      <x:c r="O414" s="43"/>
      <x:c r="P414" s="58" t="str">
        <x:f>IF(N414="","","Estantería "&amp;N414&amp;IF(O414="",""," - Balda "&amp;N414&amp;O414))</x:f>
      </x:c>
      <x:c r="Q414" s="37"/>
      <x:c r="R414" s="37"/>
      <x:c r="S414" s="49"/>
      <x:c r="T414" s="37"/>
      <x:c r="U414" s="37"/>
      <x:c r="V414" s="37"/>
      <x:c r="W414" s="34"/>
      <x:c r="X414" s="52"/>
      <x:c r="Y414" s="61" t="str">
        <x:f>IF(A414="","",IF(COUNTIF($A$6:$A$605,A414)&gt;1,"DUPLICADO","OK"))</x:f>
      </x:c>
      <x:c r="Z414" s="61" t="str">
        <x:f>IF(A414="","",IF(C414="","FALTA TÍTULO",IF(E414="","FALTA ÁREA",IF(W414&lt;&gt;"Sí","PENDIENTE","LISTO"))))</x:f>
      </x:c>
    </x:row>
    <x:row r="415">
      <x:c r="A415" s="40"/>
      <x:c r="B415" s="40"/>
      <x:c r="C415" s="37"/>
      <x:c r="D415" s="37"/>
      <x:c r="E415" s="37"/>
      <x:c r="F415" s="43"/>
      <x:c r="G415" s="43"/>
      <x:c r="H415" s="43"/>
      <x:c r="I415" s="55" t="str">
        <x:f>IF(OR(F415="",G415="",H415=""),"",F415&amp;" "&amp;UPPER(G415)&amp;"."&amp;LOWER(H415))</x:f>
      </x:c>
      <x:c r="J415" s="37"/>
      <x:c r="K415" s="37"/>
      <x:c r="L415" s="46"/>
      <x:c r="M415" s="43"/>
      <x:c r="N415" s="43"/>
      <x:c r="O415" s="43"/>
      <x:c r="P415" s="58" t="str">
        <x:f>IF(N415="","","Estantería "&amp;N415&amp;IF(O415="",""," - Balda "&amp;N415&amp;O415))</x:f>
      </x:c>
      <x:c r="Q415" s="37"/>
      <x:c r="R415" s="37"/>
      <x:c r="S415" s="49"/>
      <x:c r="T415" s="37"/>
      <x:c r="U415" s="37"/>
      <x:c r="V415" s="37"/>
      <x:c r="W415" s="34"/>
      <x:c r="X415" s="52"/>
      <x:c r="Y415" s="61" t="str">
        <x:f>IF(A415="","",IF(COUNTIF($A$6:$A$605,A415)&gt;1,"DUPLICADO","OK"))</x:f>
      </x:c>
      <x:c r="Z415" s="61" t="str">
        <x:f>IF(A415="","",IF(C415="","FALTA TÍTULO",IF(E415="","FALTA ÁREA",IF(W415&lt;&gt;"Sí","PENDIENTE","LISTO"))))</x:f>
      </x:c>
    </x:row>
    <x:row r="416">
      <x:c r="A416" s="40"/>
      <x:c r="B416" s="40"/>
      <x:c r="C416" s="37"/>
      <x:c r="D416" s="37"/>
      <x:c r="E416" s="37"/>
      <x:c r="F416" s="43"/>
      <x:c r="G416" s="43"/>
      <x:c r="H416" s="43"/>
      <x:c r="I416" s="55" t="str">
        <x:f>IF(OR(F416="",G416="",H416=""),"",F416&amp;" "&amp;UPPER(G416)&amp;"."&amp;LOWER(H416))</x:f>
      </x:c>
      <x:c r="J416" s="37"/>
      <x:c r="K416" s="37"/>
      <x:c r="L416" s="46"/>
      <x:c r="M416" s="43"/>
      <x:c r="N416" s="43"/>
      <x:c r="O416" s="43"/>
      <x:c r="P416" s="58" t="str">
        <x:f>IF(N416="","","Estantería "&amp;N416&amp;IF(O416="",""," - Balda "&amp;N416&amp;O416))</x:f>
      </x:c>
      <x:c r="Q416" s="37"/>
      <x:c r="R416" s="37"/>
      <x:c r="S416" s="49"/>
      <x:c r="T416" s="37"/>
      <x:c r="U416" s="37"/>
      <x:c r="V416" s="37"/>
      <x:c r="W416" s="34"/>
      <x:c r="X416" s="52"/>
      <x:c r="Y416" s="61" t="str">
        <x:f>IF(A416="","",IF(COUNTIF($A$6:$A$605,A416)&gt;1,"DUPLICADO","OK"))</x:f>
      </x:c>
      <x:c r="Z416" s="61" t="str">
        <x:f>IF(A416="","",IF(C416="","FALTA TÍTULO",IF(E416="","FALTA ÁREA",IF(W416&lt;&gt;"Sí","PENDIENTE","LISTO"))))</x:f>
      </x:c>
    </x:row>
    <x:row r="417">
      <x:c r="A417" s="40"/>
      <x:c r="B417" s="40"/>
      <x:c r="C417" s="37"/>
      <x:c r="D417" s="37"/>
      <x:c r="E417" s="37"/>
      <x:c r="F417" s="43"/>
      <x:c r="G417" s="43"/>
      <x:c r="H417" s="43"/>
      <x:c r="I417" s="55" t="str">
        <x:f>IF(OR(F417="",G417="",H417=""),"",F417&amp;" "&amp;UPPER(G417)&amp;"."&amp;LOWER(H417))</x:f>
      </x:c>
      <x:c r="J417" s="37"/>
      <x:c r="K417" s="37"/>
      <x:c r="L417" s="46"/>
      <x:c r="M417" s="43"/>
      <x:c r="N417" s="43"/>
      <x:c r="O417" s="43"/>
      <x:c r="P417" s="58" t="str">
        <x:f>IF(N417="","","Estantería "&amp;N417&amp;IF(O417="",""," - Balda "&amp;N417&amp;O417))</x:f>
      </x:c>
      <x:c r="Q417" s="37"/>
      <x:c r="R417" s="37"/>
      <x:c r="S417" s="49"/>
      <x:c r="T417" s="37"/>
      <x:c r="U417" s="37"/>
      <x:c r="V417" s="37"/>
      <x:c r="W417" s="34"/>
      <x:c r="X417" s="52"/>
      <x:c r="Y417" s="61" t="str">
        <x:f>IF(A417="","",IF(COUNTIF($A$6:$A$605,A417)&gt;1,"DUPLICADO","OK"))</x:f>
      </x:c>
      <x:c r="Z417" s="61" t="str">
        <x:f>IF(A417="","",IF(C417="","FALTA TÍTULO",IF(E417="","FALTA ÁREA",IF(W417&lt;&gt;"Sí","PENDIENTE","LISTO"))))</x:f>
      </x:c>
    </x:row>
    <x:row r="418">
      <x:c r="A418" s="40"/>
      <x:c r="B418" s="40"/>
      <x:c r="C418" s="37"/>
      <x:c r="D418" s="37"/>
      <x:c r="E418" s="37"/>
      <x:c r="F418" s="43"/>
      <x:c r="G418" s="43"/>
      <x:c r="H418" s="43"/>
      <x:c r="I418" s="55" t="str">
        <x:f>IF(OR(F418="",G418="",H418=""),"",F418&amp;" "&amp;UPPER(G418)&amp;"."&amp;LOWER(H418))</x:f>
      </x:c>
      <x:c r="J418" s="37"/>
      <x:c r="K418" s="37"/>
      <x:c r="L418" s="46"/>
      <x:c r="M418" s="43"/>
      <x:c r="N418" s="43"/>
      <x:c r="O418" s="43"/>
      <x:c r="P418" s="58" t="str">
        <x:f>IF(N418="","","Estantería "&amp;N418&amp;IF(O418="",""," - Balda "&amp;N418&amp;O418))</x:f>
      </x:c>
      <x:c r="Q418" s="37"/>
      <x:c r="R418" s="37"/>
      <x:c r="S418" s="49"/>
      <x:c r="T418" s="37"/>
      <x:c r="U418" s="37"/>
      <x:c r="V418" s="37"/>
      <x:c r="W418" s="34"/>
      <x:c r="X418" s="52"/>
      <x:c r="Y418" s="61" t="str">
        <x:f>IF(A418="","",IF(COUNTIF($A$6:$A$605,A418)&gt;1,"DUPLICADO","OK"))</x:f>
      </x:c>
      <x:c r="Z418" s="61" t="str">
        <x:f>IF(A418="","",IF(C418="","FALTA TÍTULO",IF(E418="","FALTA ÁREA",IF(W418&lt;&gt;"Sí","PENDIENTE","LISTO"))))</x:f>
      </x:c>
    </x:row>
    <x:row r="419">
      <x:c r="A419" s="40"/>
      <x:c r="B419" s="40"/>
      <x:c r="C419" s="37"/>
      <x:c r="D419" s="37"/>
      <x:c r="E419" s="37"/>
      <x:c r="F419" s="43"/>
      <x:c r="G419" s="43"/>
      <x:c r="H419" s="43"/>
      <x:c r="I419" s="55" t="str">
        <x:f>IF(OR(F419="",G419="",H419=""),"",F419&amp;" "&amp;UPPER(G419)&amp;"."&amp;LOWER(H419))</x:f>
      </x:c>
      <x:c r="J419" s="37"/>
      <x:c r="K419" s="37"/>
      <x:c r="L419" s="46"/>
      <x:c r="M419" s="43"/>
      <x:c r="N419" s="43"/>
      <x:c r="O419" s="43"/>
      <x:c r="P419" s="58" t="str">
        <x:f>IF(N419="","","Estantería "&amp;N419&amp;IF(O419="",""," - Balda "&amp;N419&amp;O419))</x:f>
      </x:c>
      <x:c r="Q419" s="37"/>
      <x:c r="R419" s="37"/>
      <x:c r="S419" s="49"/>
      <x:c r="T419" s="37"/>
      <x:c r="U419" s="37"/>
      <x:c r="V419" s="37"/>
      <x:c r="W419" s="34"/>
      <x:c r="X419" s="52"/>
      <x:c r="Y419" s="61" t="str">
        <x:f>IF(A419="","",IF(COUNTIF($A$6:$A$605,A419)&gt;1,"DUPLICADO","OK"))</x:f>
      </x:c>
      <x:c r="Z419" s="61" t="str">
        <x:f>IF(A419="","",IF(C419="","FALTA TÍTULO",IF(E419="","FALTA ÁREA",IF(W419&lt;&gt;"Sí","PENDIENTE","LISTO"))))</x:f>
      </x:c>
    </x:row>
    <x:row r="420">
      <x:c r="A420" s="40"/>
      <x:c r="B420" s="40"/>
      <x:c r="C420" s="37"/>
      <x:c r="D420" s="37"/>
      <x:c r="E420" s="37"/>
      <x:c r="F420" s="43"/>
      <x:c r="G420" s="43"/>
      <x:c r="H420" s="43"/>
      <x:c r="I420" s="55" t="str">
        <x:f>IF(OR(F420="",G420="",H420=""),"",F420&amp;" "&amp;UPPER(G420)&amp;"."&amp;LOWER(H420))</x:f>
      </x:c>
      <x:c r="J420" s="37"/>
      <x:c r="K420" s="37"/>
      <x:c r="L420" s="46"/>
      <x:c r="M420" s="43"/>
      <x:c r="N420" s="43"/>
      <x:c r="O420" s="43"/>
      <x:c r="P420" s="58" t="str">
        <x:f>IF(N420="","","Estantería "&amp;N420&amp;IF(O420="",""," - Balda "&amp;N420&amp;O420))</x:f>
      </x:c>
      <x:c r="Q420" s="37"/>
      <x:c r="R420" s="37"/>
      <x:c r="S420" s="49"/>
      <x:c r="T420" s="37"/>
      <x:c r="U420" s="37"/>
      <x:c r="V420" s="37"/>
      <x:c r="W420" s="34"/>
      <x:c r="X420" s="52"/>
      <x:c r="Y420" s="61" t="str">
        <x:f>IF(A420="","",IF(COUNTIF($A$6:$A$605,A420)&gt;1,"DUPLICADO","OK"))</x:f>
      </x:c>
      <x:c r="Z420" s="61" t="str">
        <x:f>IF(A420="","",IF(C420="","FALTA TÍTULO",IF(E420="","FALTA ÁREA",IF(W420&lt;&gt;"Sí","PENDIENTE","LISTO"))))</x:f>
      </x:c>
    </x:row>
    <x:row r="421">
      <x:c r="A421" s="40"/>
      <x:c r="B421" s="40"/>
      <x:c r="C421" s="37"/>
      <x:c r="D421" s="37"/>
      <x:c r="E421" s="37"/>
      <x:c r="F421" s="43"/>
      <x:c r="G421" s="43"/>
      <x:c r="H421" s="43"/>
      <x:c r="I421" s="55" t="str">
        <x:f>IF(OR(F421="",G421="",H421=""),"",F421&amp;" "&amp;UPPER(G421)&amp;"."&amp;LOWER(H421))</x:f>
      </x:c>
      <x:c r="J421" s="37"/>
      <x:c r="K421" s="37"/>
      <x:c r="L421" s="46"/>
      <x:c r="M421" s="43"/>
      <x:c r="N421" s="43"/>
      <x:c r="O421" s="43"/>
      <x:c r="P421" s="58" t="str">
        <x:f>IF(N421="","","Estantería "&amp;N421&amp;IF(O421="",""," - Balda "&amp;N421&amp;O421))</x:f>
      </x:c>
      <x:c r="Q421" s="37"/>
      <x:c r="R421" s="37"/>
      <x:c r="S421" s="49"/>
      <x:c r="T421" s="37"/>
      <x:c r="U421" s="37"/>
      <x:c r="V421" s="37"/>
      <x:c r="W421" s="34"/>
      <x:c r="X421" s="52"/>
      <x:c r="Y421" s="61" t="str">
        <x:f>IF(A421="","",IF(COUNTIF($A$6:$A$605,A421)&gt;1,"DUPLICADO","OK"))</x:f>
      </x:c>
      <x:c r="Z421" s="61" t="str">
        <x:f>IF(A421="","",IF(C421="","FALTA TÍTULO",IF(E421="","FALTA ÁREA",IF(W421&lt;&gt;"Sí","PENDIENTE","LISTO"))))</x:f>
      </x:c>
    </x:row>
    <x:row r="422">
      <x:c r="A422" s="40"/>
      <x:c r="B422" s="40"/>
      <x:c r="C422" s="37"/>
      <x:c r="D422" s="37"/>
      <x:c r="E422" s="37"/>
      <x:c r="F422" s="43"/>
      <x:c r="G422" s="43"/>
      <x:c r="H422" s="43"/>
      <x:c r="I422" s="55" t="str">
        <x:f>IF(OR(F422="",G422="",H422=""),"",F422&amp;" "&amp;UPPER(G422)&amp;"."&amp;LOWER(H422))</x:f>
      </x:c>
      <x:c r="J422" s="37"/>
      <x:c r="K422" s="37"/>
      <x:c r="L422" s="46"/>
      <x:c r="M422" s="43"/>
      <x:c r="N422" s="43"/>
      <x:c r="O422" s="43"/>
      <x:c r="P422" s="58" t="str">
        <x:f>IF(N422="","","Estantería "&amp;N422&amp;IF(O422="",""," - Balda "&amp;N422&amp;O422))</x:f>
      </x:c>
      <x:c r="Q422" s="37"/>
      <x:c r="R422" s="37"/>
      <x:c r="S422" s="49"/>
      <x:c r="T422" s="37"/>
      <x:c r="U422" s="37"/>
      <x:c r="V422" s="37"/>
      <x:c r="W422" s="34"/>
      <x:c r="X422" s="52"/>
      <x:c r="Y422" s="61" t="str">
        <x:f>IF(A422="","",IF(COUNTIF($A$6:$A$605,A422)&gt;1,"DUPLICADO","OK"))</x:f>
      </x:c>
      <x:c r="Z422" s="61" t="str">
        <x:f>IF(A422="","",IF(C422="","FALTA TÍTULO",IF(E422="","FALTA ÁREA",IF(W422&lt;&gt;"Sí","PENDIENTE","LISTO"))))</x:f>
      </x:c>
    </x:row>
    <x:row r="423">
      <x:c r="A423" s="40"/>
      <x:c r="B423" s="40"/>
      <x:c r="C423" s="37"/>
      <x:c r="D423" s="37"/>
      <x:c r="E423" s="37"/>
      <x:c r="F423" s="43"/>
      <x:c r="G423" s="43"/>
      <x:c r="H423" s="43"/>
      <x:c r="I423" s="55" t="str">
        <x:f>IF(OR(F423="",G423="",H423=""),"",F423&amp;" "&amp;UPPER(G423)&amp;"."&amp;LOWER(H423))</x:f>
      </x:c>
      <x:c r="J423" s="37"/>
      <x:c r="K423" s="37"/>
      <x:c r="L423" s="46"/>
      <x:c r="M423" s="43"/>
      <x:c r="N423" s="43"/>
      <x:c r="O423" s="43"/>
      <x:c r="P423" s="58" t="str">
        <x:f>IF(N423="","","Estantería "&amp;N423&amp;IF(O423="",""," - Balda "&amp;N423&amp;O423))</x:f>
      </x:c>
      <x:c r="Q423" s="37"/>
      <x:c r="R423" s="37"/>
      <x:c r="S423" s="49"/>
      <x:c r="T423" s="37"/>
      <x:c r="U423" s="37"/>
      <x:c r="V423" s="37"/>
      <x:c r="W423" s="34"/>
      <x:c r="X423" s="52"/>
      <x:c r="Y423" s="61" t="str">
        <x:f>IF(A423="","",IF(COUNTIF($A$6:$A$605,A423)&gt;1,"DUPLICADO","OK"))</x:f>
      </x:c>
      <x:c r="Z423" s="61" t="str">
        <x:f>IF(A423="","",IF(C423="","FALTA TÍTULO",IF(E423="","FALTA ÁREA",IF(W423&lt;&gt;"Sí","PENDIENTE","LISTO"))))</x:f>
      </x:c>
    </x:row>
    <x:row r="424">
      <x:c r="A424" s="40"/>
      <x:c r="B424" s="40"/>
      <x:c r="C424" s="37"/>
      <x:c r="D424" s="37"/>
      <x:c r="E424" s="37"/>
      <x:c r="F424" s="43"/>
      <x:c r="G424" s="43"/>
      <x:c r="H424" s="43"/>
      <x:c r="I424" s="55" t="str">
        <x:f>IF(OR(F424="",G424="",H424=""),"",F424&amp;" "&amp;UPPER(G424)&amp;"."&amp;LOWER(H424))</x:f>
      </x:c>
      <x:c r="J424" s="37"/>
      <x:c r="K424" s="37"/>
      <x:c r="L424" s="46"/>
      <x:c r="M424" s="43"/>
      <x:c r="N424" s="43"/>
      <x:c r="O424" s="43"/>
      <x:c r="P424" s="58" t="str">
        <x:f>IF(N424="","","Estantería "&amp;N424&amp;IF(O424="",""," - Balda "&amp;N424&amp;O424))</x:f>
      </x:c>
      <x:c r="Q424" s="37"/>
      <x:c r="R424" s="37"/>
      <x:c r="S424" s="49"/>
      <x:c r="T424" s="37"/>
      <x:c r="U424" s="37"/>
      <x:c r="V424" s="37"/>
      <x:c r="W424" s="34"/>
      <x:c r="X424" s="52"/>
      <x:c r="Y424" s="61" t="str">
        <x:f>IF(A424="","",IF(COUNTIF($A$6:$A$605,A424)&gt;1,"DUPLICADO","OK"))</x:f>
      </x:c>
      <x:c r="Z424" s="61" t="str">
        <x:f>IF(A424="","",IF(C424="","FALTA TÍTULO",IF(E424="","FALTA ÁREA",IF(W424&lt;&gt;"Sí","PENDIENTE","LISTO"))))</x:f>
      </x:c>
    </x:row>
    <x:row r="425">
      <x:c r="A425" s="40"/>
      <x:c r="B425" s="40"/>
      <x:c r="C425" s="37"/>
      <x:c r="D425" s="37"/>
      <x:c r="E425" s="37"/>
      <x:c r="F425" s="43"/>
      <x:c r="G425" s="43"/>
      <x:c r="H425" s="43"/>
      <x:c r="I425" s="55" t="str">
        <x:f>IF(OR(F425="",G425="",H425=""),"",F425&amp;" "&amp;UPPER(G425)&amp;"."&amp;LOWER(H425))</x:f>
      </x:c>
      <x:c r="J425" s="37"/>
      <x:c r="K425" s="37"/>
      <x:c r="L425" s="46"/>
      <x:c r="M425" s="43"/>
      <x:c r="N425" s="43"/>
      <x:c r="O425" s="43"/>
      <x:c r="P425" s="58" t="str">
        <x:f>IF(N425="","","Estantería "&amp;N425&amp;IF(O425="",""," - Balda "&amp;N425&amp;O425))</x:f>
      </x:c>
      <x:c r="Q425" s="37"/>
      <x:c r="R425" s="37"/>
      <x:c r="S425" s="49"/>
      <x:c r="T425" s="37"/>
      <x:c r="U425" s="37"/>
      <x:c r="V425" s="37"/>
      <x:c r="W425" s="34"/>
      <x:c r="X425" s="52"/>
      <x:c r="Y425" s="61" t="str">
        <x:f>IF(A425="","",IF(COUNTIF($A$6:$A$605,A425)&gt;1,"DUPLICADO","OK"))</x:f>
      </x:c>
      <x:c r="Z425" s="61" t="str">
        <x:f>IF(A425="","",IF(C425="","FALTA TÍTULO",IF(E425="","FALTA ÁREA",IF(W425&lt;&gt;"Sí","PENDIENTE","LISTO"))))</x:f>
      </x:c>
    </x:row>
    <x:row r="426">
      <x:c r="A426" s="40"/>
      <x:c r="B426" s="40"/>
      <x:c r="C426" s="37"/>
      <x:c r="D426" s="37"/>
      <x:c r="E426" s="37"/>
      <x:c r="F426" s="43"/>
      <x:c r="G426" s="43"/>
      <x:c r="H426" s="43"/>
      <x:c r="I426" s="55" t="str">
        <x:f>IF(OR(F426="",G426="",H426=""),"",F426&amp;" "&amp;UPPER(G426)&amp;"."&amp;LOWER(H426))</x:f>
      </x:c>
      <x:c r="J426" s="37"/>
      <x:c r="K426" s="37"/>
      <x:c r="L426" s="46"/>
      <x:c r="M426" s="43"/>
      <x:c r="N426" s="43"/>
      <x:c r="O426" s="43"/>
      <x:c r="P426" s="58" t="str">
        <x:f>IF(N426="","","Estantería "&amp;N426&amp;IF(O426="",""," - Balda "&amp;N426&amp;O426))</x:f>
      </x:c>
      <x:c r="Q426" s="37"/>
      <x:c r="R426" s="37"/>
      <x:c r="S426" s="49"/>
      <x:c r="T426" s="37"/>
      <x:c r="U426" s="37"/>
      <x:c r="V426" s="37"/>
      <x:c r="W426" s="34"/>
      <x:c r="X426" s="52"/>
      <x:c r="Y426" s="61" t="str">
        <x:f>IF(A426="","",IF(COUNTIF($A$6:$A$605,A426)&gt;1,"DUPLICADO","OK"))</x:f>
      </x:c>
      <x:c r="Z426" s="61" t="str">
        <x:f>IF(A426="","",IF(C426="","FALTA TÍTULO",IF(E426="","FALTA ÁREA",IF(W426&lt;&gt;"Sí","PENDIENTE","LISTO"))))</x:f>
      </x:c>
    </x:row>
    <x:row r="427">
      <x:c r="A427" s="40"/>
      <x:c r="B427" s="40"/>
      <x:c r="C427" s="37"/>
      <x:c r="D427" s="37"/>
      <x:c r="E427" s="37"/>
      <x:c r="F427" s="43"/>
      <x:c r="G427" s="43"/>
      <x:c r="H427" s="43"/>
      <x:c r="I427" s="55" t="str">
        <x:f>IF(OR(F427="",G427="",H427=""),"",F427&amp;" "&amp;UPPER(G427)&amp;"."&amp;LOWER(H427))</x:f>
      </x:c>
      <x:c r="J427" s="37"/>
      <x:c r="K427" s="37"/>
      <x:c r="L427" s="46"/>
      <x:c r="M427" s="43"/>
      <x:c r="N427" s="43"/>
      <x:c r="O427" s="43"/>
      <x:c r="P427" s="58" t="str">
        <x:f>IF(N427="","","Estantería "&amp;N427&amp;IF(O427="",""," - Balda "&amp;N427&amp;O427))</x:f>
      </x:c>
      <x:c r="Q427" s="37"/>
      <x:c r="R427" s="37"/>
      <x:c r="S427" s="49"/>
      <x:c r="T427" s="37"/>
      <x:c r="U427" s="37"/>
      <x:c r="V427" s="37"/>
      <x:c r="W427" s="34"/>
      <x:c r="X427" s="52"/>
      <x:c r="Y427" s="61" t="str">
        <x:f>IF(A427="","",IF(COUNTIF($A$6:$A$605,A427)&gt;1,"DUPLICADO","OK"))</x:f>
      </x:c>
      <x:c r="Z427" s="61" t="str">
        <x:f>IF(A427="","",IF(C427="","FALTA TÍTULO",IF(E427="","FALTA ÁREA",IF(W427&lt;&gt;"Sí","PENDIENTE","LISTO"))))</x:f>
      </x:c>
    </x:row>
    <x:row r="428">
      <x:c r="A428" s="40"/>
      <x:c r="B428" s="40"/>
      <x:c r="C428" s="37"/>
      <x:c r="D428" s="37"/>
      <x:c r="E428" s="37"/>
      <x:c r="F428" s="43"/>
      <x:c r="G428" s="43"/>
      <x:c r="H428" s="43"/>
      <x:c r="I428" s="55" t="str">
        <x:f>IF(OR(F428="",G428="",H428=""),"",F428&amp;" "&amp;UPPER(G428)&amp;"."&amp;LOWER(H428))</x:f>
      </x:c>
      <x:c r="J428" s="37"/>
      <x:c r="K428" s="37"/>
      <x:c r="L428" s="46"/>
      <x:c r="M428" s="43"/>
      <x:c r="N428" s="43"/>
      <x:c r="O428" s="43"/>
      <x:c r="P428" s="58" t="str">
        <x:f>IF(N428="","","Estantería "&amp;N428&amp;IF(O428="",""," - Balda "&amp;N428&amp;O428))</x:f>
      </x:c>
      <x:c r="Q428" s="37"/>
      <x:c r="R428" s="37"/>
      <x:c r="S428" s="49"/>
      <x:c r="T428" s="37"/>
      <x:c r="U428" s="37"/>
      <x:c r="V428" s="37"/>
      <x:c r="W428" s="34"/>
      <x:c r="X428" s="52"/>
      <x:c r="Y428" s="61" t="str">
        <x:f>IF(A428="","",IF(COUNTIF($A$6:$A$605,A428)&gt;1,"DUPLICADO","OK"))</x:f>
      </x:c>
      <x:c r="Z428" s="61" t="str">
        <x:f>IF(A428="","",IF(C428="","FALTA TÍTULO",IF(E428="","FALTA ÁREA",IF(W428&lt;&gt;"Sí","PENDIENTE","LISTO"))))</x:f>
      </x:c>
    </x:row>
    <x:row r="429">
      <x:c r="A429" s="40"/>
      <x:c r="B429" s="40"/>
      <x:c r="C429" s="37"/>
      <x:c r="D429" s="37"/>
      <x:c r="E429" s="37"/>
      <x:c r="F429" s="43"/>
      <x:c r="G429" s="43"/>
      <x:c r="H429" s="43"/>
      <x:c r="I429" s="55" t="str">
        <x:f>IF(OR(F429="",G429="",H429=""),"",F429&amp;" "&amp;UPPER(G429)&amp;"."&amp;LOWER(H429))</x:f>
      </x:c>
      <x:c r="J429" s="37"/>
      <x:c r="K429" s="37"/>
      <x:c r="L429" s="46"/>
      <x:c r="M429" s="43"/>
      <x:c r="N429" s="43"/>
      <x:c r="O429" s="43"/>
      <x:c r="P429" s="58" t="str">
        <x:f>IF(N429="","","Estantería "&amp;N429&amp;IF(O429="",""," - Balda "&amp;N429&amp;O429))</x:f>
      </x:c>
      <x:c r="Q429" s="37"/>
      <x:c r="R429" s="37"/>
      <x:c r="S429" s="49"/>
      <x:c r="T429" s="37"/>
      <x:c r="U429" s="37"/>
      <x:c r="V429" s="37"/>
      <x:c r="W429" s="34"/>
      <x:c r="X429" s="52"/>
      <x:c r="Y429" s="61" t="str">
        <x:f>IF(A429="","",IF(COUNTIF($A$6:$A$605,A429)&gt;1,"DUPLICADO","OK"))</x:f>
      </x:c>
      <x:c r="Z429" s="61" t="str">
        <x:f>IF(A429="","",IF(C429="","FALTA TÍTULO",IF(E429="","FALTA ÁREA",IF(W429&lt;&gt;"Sí","PENDIENTE","LISTO"))))</x:f>
      </x:c>
    </x:row>
    <x:row r="430">
      <x:c r="A430" s="40"/>
      <x:c r="B430" s="40"/>
      <x:c r="C430" s="37"/>
      <x:c r="D430" s="37"/>
      <x:c r="E430" s="37"/>
      <x:c r="F430" s="43"/>
      <x:c r="G430" s="43"/>
      <x:c r="H430" s="43"/>
      <x:c r="I430" s="55" t="str">
        <x:f>IF(OR(F430="",G430="",H430=""),"",F430&amp;" "&amp;UPPER(G430)&amp;"."&amp;LOWER(H430))</x:f>
      </x:c>
      <x:c r="J430" s="37"/>
      <x:c r="K430" s="37"/>
      <x:c r="L430" s="46"/>
      <x:c r="M430" s="43"/>
      <x:c r="N430" s="43"/>
      <x:c r="O430" s="43"/>
      <x:c r="P430" s="58" t="str">
        <x:f>IF(N430="","","Estantería "&amp;N430&amp;IF(O430="",""," - Balda "&amp;N430&amp;O430))</x:f>
      </x:c>
      <x:c r="Q430" s="37"/>
      <x:c r="R430" s="37"/>
      <x:c r="S430" s="49"/>
      <x:c r="T430" s="37"/>
      <x:c r="U430" s="37"/>
      <x:c r="V430" s="37"/>
      <x:c r="W430" s="34"/>
      <x:c r="X430" s="52"/>
      <x:c r="Y430" s="61" t="str">
        <x:f>IF(A430="","",IF(COUNTIF($A$6:$A$605,A430)&gt;1,"DUPLICADO","OK"))</x:f>
      </x:c>
      <x:c r="Z430" s="61" t="str">
        <x:f>IF(A430="","",IF(C430="","FALTA TÍTULO",IF(E430="","FALTA ÁREA",IF(W430&lt;&gt;"Sí","PENDIENTE","LISTO"))))</x:f>
      </x:c>
    </x:row>
    <x:row r="431">
      <x:c r="A431" s="40"/>
      <x:c r="B431" s="40"/>
      <x:c r="C431" s="37"/>
      <x:c r="D431" s="37"/>
      <x:c r="E431" s="37"/>
      <x:c r="F431" s="43"/>
      <x:c r="G431" s="43"/>
      <x:c r="H431" s="43"/>
      <x:c r="I431" s="55" t="str">
        <x:f>IF(OR(F431="",G431="",H431=""),"",F431&amp;" "&amp;UPPER(G431)&amp;"."&amp;LOWER(H431))</x:f>
      </x:c>
      <x:c r="J431" s="37"/>
      <x:c r="K431" s="37"/>
      <x:c r="L431" s="46"/>
      <x:c r="M431" s="43"/>
      <x:c r="N431" s="43"/>
      <x:c r="O431" s="43"/>
      <x:c r="P431" s="58" t="str">
        <x:f>IF(N431="","","Estantería "&amp;N431&amp;IF(O431="",""," - Balda "&amp;N431&amp;O431))</x:f>
      </x:c>
      <x:c r="Q431" s="37"/>
      <x:c r="R431" s="37"/>
      <x:c r="S431" s="49"/>
      <x:c r="T431" s="37"/>
      <x:c r="U431" s="37"/>
      <x:c r="V431" s="37"/>
      <x:c r="W431" s="34"/>
      <x:c r="X431" s="52"/>
      <x:c r="Y431" s="61" t="str">
        <x:f>IF(A431="","",IF(COUNTIF($A$6:$A$605,A431)&gt;1,"DUPLICADO","OK"))</x:f>
      </x:c>
      <x:c r="Z431" s="61" t="str">
        <x:f>IF(A431="","",IF(C431="","FALTA TÍTULO",IF(E431="","FALTA ÁREA",IF(W431&lt;&gt;"Sí","PENDIENTE","LISTO"))))</x:f>
      </x:c>
    </x:row>
    <x:row r="432">
      <x:c r="A432" s="40"/>
      <x:c r="B432" s="40"/>
      <x:c r="C432" s="37"/>
      <x:c r="D432" s="37"/>
      <x:c r="E432" s="37"/>
      <x:c r="F432" s="43"/>
      <x:c r="G432" s="43"/>
      <x:c r="H432" s="43"/>
      <x:c r="I432" s="55" t="str">
        <x:f>IF(OR(F432="",G432="",H432=""),"",F432&amp;" "&amp;UPPER(G432)&amp;"."&amp;LOWER(H432))</x:f>
      </x:c>
      <x:c r="J432" s="37"/>
      <x:c r="K432" s="37"/>
      <x:c r="L432" s="46"/>
      <x:c r="M432" s="43"/>
      <x:c r="N432" s="43"/>
      <x:c r="O432" s="43"/>
      <x:c r="P432" s="58" t="str">
        <x:f>IF(N432="","","Estantería "&amp;N432&amp;IF(O432="",""," - Balda "&amp;N432&amp;O432))</x:f>
      </x:c>
      <x:c r="Q432" s="37"/>
      <x:c r="R432" s="37"/>
      <x:c r="S432" s="49"/>
      <x:c r="T432" s="37"/>
      <x:c r="U432" s="37"/>
      <x:c r="V432" s="37"/>
      <x:c r="W432" s="34"/>
      <x:c r="X432" s="52"/>
      <x:c r="Y432" s="61" t="str">
        <x:f>IF(A432="","",IF(COUNTIF($A$6:$A$605,A432)&gt;1,"DUPLICADO","OK"))</x:f>
      </x:c>
      <x:c r="Z432" s="61" t="str">
        <x:f>IF(A432="","",IF(C432="","FALTA TÍTULO",IF(E432="","FALTA ÁREA",IF(W432&lt;&gt;"Sí","PENDIENTE","LISTO"))))</x:f>
      </x:c>
    </x:row>
    <x:row r="433">
      <x:c r="A433" s="40"/>
      <x:c r="B433" s="40"/>
      <x:c r="C433" s="37"/>
      <x:c r="D433" s="37"/>
      <x:c r="E433" s="37"/>
      <x:c r="F433" s="43"/>
      <x:c r="G433" s="43"/>
      <x:c r="H433" s="43"/>
      <x:c r="I433" s="55" t="str">
        <x:f>IF(OR(F433="",G433="",H433=""),"",F433&amp;" "&amp;UPPER(G433)&amp;"."&amp;LOWER(H433))</x:f>
      </x:c>
      <x:c r="J433" s="37"/>
      <x:c r="K433" s="37"/>
      <x:c r="L433" s="46"/>
      <x:c r="M433" s="43"/>
      <x:c r="N433" s="43"/>
      <x:c r="O433" s="43"/>
      <x:c r="P433" s="58" t="str">
        <x:f>IF(N433="","","Estantería "&amp;N433&amp;IF(O433="",""," - Balda "&amp;N433&amp;O433))</x:f>
      </x:c>
      <x:c r="Q433" s="37"/>
      <x:c r="R433" s="37"/>
      <x:c r="S433" s="49"/>
      <x:c r="T433" s="37"/>
      <x:c r="U433" s="37"/>
      <x:c r="V433" s="37"/>
      <x:c r="W433" s="34"/>
      <x:c r="X433" s="52"/>
      <x:c r="Y433" s="61" t="str">
        <x:f>IF(A433="","",IF(COUNTIF($A$6:$A$605,A433)&gt;1,"DUPLICADO","OK"))</x:f>
      </x:c>
      <x:c r="Z433" s="61" t="str">
        <x:f>IF(A433="","",IF(C433="","FALTA TÍTULO",IF(E433="","FALTA ÁREA",IF(W433&lt;&gt;"Sí","PENDIENTE","LISTO"))))</x:f>
      </x:c>
    </x:row>
    <x:row r="434">
      <x:c r="A434" s="40"/>
      <x:c r="B434" s="40"/>
      <x:c r="C434" s="37"/>
      <x:c r="D434" s="37"/>
      <x:c r="E434" s="37"/>
      <x:c r="F434" s="43"/>
      <x:c r="G434" s="43"/>
      <x:c r="H434" s="43"/>
      <x:c r="I434" s="55" t="str">
        <x:f>IF(OR(F434="",G434="",H434=""),"",F434&amp;" "&amp;UPPER(G434)&amp;"."&amp;LOWER(H434))</x:f>
      </x:c>
      <x:c r="J434" s="37"/>
      <x:c r="K434" s="37"/>
      <x:c r="L434" s="46"/>
      <x:c r="M434" s="43"/>
      <x:c r="N434" s="43"/>
      <x:c r="O434" s="43"/>
      <x:c r="P434" s="58" t="str">
        <x:f>IF(N434="","","Estantería "&amp;N434&amp;IF(O434="",""," - Balda "&amp;N434&amp;O434))</x:f>
      </x:c>
      <x:c r="Q434" s="37"/>
      <x:c r="R434" s="37"/>
      <x:c r="S434" s="49"/>
      <x:c r="T434" s="37"/>
      <x:c r="U434" s="37"/>
      <x:c r="V434" s="37"/>
      <x:c r="W434" s="34"/>
      <x:c r="X434" s="52"/>
      <x:c r="Y434" s="61" t="str">
        <x:f>IF(A434="","",IF(COUNTIF($A$6:$A$605,A434)&gt;1,"DUPLICADO","OK"))</x:f>
      </x:c>
      <x:c r="Z434" s="61" t="str">
        <x:f>IF(A434="","",IF(C434="","FALTA TÍTULO",IF(E434="","FALTA ÁREA",IF(W434&lt;&gt;"Sí","PENDIENTE","LISTO"))))</x:f>
      </x:c>
    </x:row>
    <x:row r="435">
      <x:c r="A435" s="40"/>
      <x:c r="B435" s="40"/>
      <x:c r="C435" s="37"/>
      <x:c r="D435" s="37"/>
      <x:c r="E435" s="37"/>
      <x:c r="F435" s="43"/>
      <x:c r="G435" s="43"/>
      <x:c r="H435" s="43"/>
      <x:c r="I435" s="55" t="str">
        <x:f>IF(OR(F435="",G435="",H435=""),"",F435&amp;" "&amp;UPPER(G435)&amp;"."&amp;LOWER(H435))</x:f>
      </x:c>
      <x:c r="J435" s="37"/>
      <x:c r="K435" s="37"/>
      <x:c r="L435" s="46"/>
      <x:c r="M435" s="43"/>
      <x:c r="N435" s="43"/>
      <x:c r="O435" s="43"/>
      <x:c r="P435" s="58" t="str">
        <x:f>IF(N435="","","Estantería "&amp;N435&amp;IF(O435="",""," - Balda "&amp;N435&amp;O435))</x:f>
      </x:c>
      <x:c r="Q435" s="37"/>
      <x:c r="R435" s="37"/>
      <x:c r="S435" s="49"/>
      <x:c r="T435" s="37"/>
      <x:c r="U435" s="37"/>
      <x:c r="V435" s="37"/>
      <x:c r="W435" s="34"/>
      <x:c r="X435" s="52"/>
      <x:c r="Y435" s="61" t="str">
        <x:f>IF(A435="","",IF(COUNTIF($A$6:$A$605,A435)&gt;1,"DUPLICADO","OK"))</x:f>
      </x:c>
      <x:c r="Z435" s="61" t="str">
        <x:f>IF(A435="","",IF(C435="","FALTA TÍTULO",IF(E435="","FALTA ÁREA",IF(W435&lt;&gt;"Sí","PENDIENTE","LISTO"))))</x:f>
      </x:c>
    </x:row>
    <x:row r="436">
      <x:c r="A436" s="40"/>
      <x:c r="B436" s="40"/>
      <x:c r="C436" s="37"/>
      <x:c r="D436" s="37"/>
      <x:c r="E436" s="37"/>
      <x:c r="F436" s="43"/>
      <x:c r="G436" s="43"/>
      <x:c r="H436" s="43"/>
      <x:c r="I436" s="55" t="str">
        <x:f>IF(OR(F436="",G436="",H436=""),"",F436&amp;" "&amp;UPPER(G436)&amp;"."&amp;LOWER(H436))</x:f>
      </x:c>
      <x:c r="J436" s="37"/>
      <x:c r="K436" s="37"/>
      <x:c r="L436" s="46"/>
      <x:c r="M436" s="43"/>
      <x:c r="N436" s="43"/>
      <x:c r="O436" s="43"/>
      <x:c r="P436" s="58" t="str">
        <x:f>IF(N436="","","Estantería "&amp;N436&amp;IF(O436="",""," - Balda "&amp;N436&amp;O436))</x:f>
      </x:c>
      <x:c r="Q436" s="37"/>
      <x:c r="R436" s="37"/>
      <x:c r="S436" s="49"/>
      <x:c r="T436" s="37"/>
      <x:c r="U436" s="37"/>
      <x:c r="V436" s="37"/>
      <x:c r="W436" s="34"/>
      <x:c r="X436" s="52"/>
      <x:c r="Y436" s="61" t="str">
        <x:f>IF(A436="","",IF(COUNTIF($A$6:$A$605,A436)&gt;1,"DUPLICADO","OK"))</x:f>
      </x:c>
      <x:c r="Z436" s="61" t="str">
        <x:f>IF(A436="","",IF(C436="","FALTA TÍTULO",IF(E436="","FALTA ÁREA",IF(W436&lt;&gt;"Sí","PENDIENTE","LISTO"))))</x:f>
      </x:c>
    </x:row>
    <x:row r="437">
      <x:c r="A437" s="40"/>
      <x:c r="B437" s="40"/>
      <x:c r="C437" s="37"/>
      <x:c r="D437" s="37"/>
      <x:c r="E437" s="37"/>
      <x:c r="F437" s="43"/>
      <x:c r="G437" s="43"/>
      <x:c r="H437" s="43"/>
      <x:c r="I437" s="55" t="str">
        <x:f>IF(OR(F437="",G437="",H437=""),"",F437&amp;" "&amp;UPPER(G437)&amp;"."&amp;LOWER(H437))</x:f>
      </x:c>
      <x:c r="J437" s="37"/>
      <x:c r="K437" s="37"/>
      <x:c r="L437" s="46"/>
      <x:c r="M437" s="43"/>
      <x:c r="N437" s="43"/>
      <x:c r="O437" s="43"/>
      <x:c r="P437" s="58" t="str">
        <x:f>IF(N437="","","Estantería "&amp;N437&amp;IF(O437="",""," - Balda "&amp;N437&amp;O437))</x:f>
      </x:c>
      <x:c r="Q437" s="37"/>
      <x:c r="R437" s="37"/>
      <x:c r="S437" s="49"/>
      <x:c r="T437" s="37"/>
      <x:c r="U437" s="37"/>
      <x:c r="V437" s="37"/>
      <x:c r="W437" s="34"/>
      <x:c r="X437" s="52"/>
      <x:c r="Y437" s="61" t="str">
        <x:f>IF(A437="","",IF(COUNTIF($A$6:$A$605,A437)&gt;1,"DUPLICADO","OK"))</x:f>
      </x:c>
      <x:c r="Z437" s="61" t="str">
        <x:f>IF(A437="","",IF(C437="","FALTA TÍTULO",IF(E437="","FALTA ÁREA",IF(W437&lt;&gt;"Sí","PENDIENTE","LISTO"))))</x:f>
      </x:c>
    </x:row>
    <x:row r="438">
      <x:c r="A438" s="40"/>
      <x:c r="B438" s="40"/>
      <x:c r="C438" s="37"/>
      <x:c r="D438" s="37"/>
      <x:c r="E438" s="37"/>
      <x:c r="F438" s="43"/>
      <x:c r="G438" s="43"/>
      <x:c r="H438" s="43"/>
      <x:c r="I438" s="55" t="str">
        <x:f>IF(OR(F438="",G438="",H438=""),"",F438&amp;" "&amp;UPPER(G438)&amp;"."&amp;LOWER(H438))</x:f>
      </x:c>
      <x:c r="J438" s="37"/>
      <x:c r="K438" s="37"/>
      <x:c r="L438" s="46"/>
      <x:c r="M438" s="43"/>
      <x:c r="N438" s="43"/>
      <x:c r="O438" s="43"/>
      <x:c r="P438" s="58" t="str">
        <x:f>IF(N438="","","Estantería "&amp;N438&amp;IF(O438="",""," - Balda "&amp;N438&amp;O438))</x:f>
      </x:c>
      <x:c r="Q438" s="37"/>
      <x:c r="R438" s="37"/>
      <x:c r="S438" s="49"/>
      <x:c r="T438" s="37"/>
      <x:c r="U438" s="37"/>
      <x:c r="V438" s="37"/>
      <x:c r="W438" s="34"/>
      <x:c r="X438" s="52"/>
      <x:c r="Y438" s="61" t="str">
        <x:f>IF(A438="","",IF(COUNTIF($A$6:$A$605,A438)&gt;1,"DUPLICADO","OK"))</x:f>
      </x:c>
      <x:c r="Z438" s="61" t="str">
        <x:f>IF(A438="","",IF(C438="","FALTA TÍTULO",IF(E438="","FALTA ÁREA",IF(W438&lt;&gt;"Sí","PENDIENTE","LISTO"))))</x:f>
      </x:c>
    </x:row>
    <x:row r="439">
      <x:c r="A439" s="40"/>
      <x:c r="B439" s="40"/>
      <x:c r="C439" s="37"/>
      <x:c r="D439" s="37"/>
      <x:c r="E439" s="37"/>
      <x:c r="F439" s="43"/>
      <x:c r="G439" s="43"/>
      <x:c r="H439" s="43"/>
      <x:c r="I439" s="55" t="str">
        <x:f>IF(OR(F439="",G439="",H439=""),"",F439&amp;" "&amp;UPPER(G439)&amp;"."&amp;LOWER(H439))</x:f>
      </x:c>
      <x:c r="J439" s="37"/>
      <x:c r="K439" s="37"/>
      <x:c r="L439" s="46"/>
      <x:c r="M439" s="43"/>
      <x:c r="N439" s="43"/>
      <x:c r="O439" s="43"/>
      <x:c r="P439" s="58" t="str">
        <x:f>IF(N439="","","Estantería "&amp;N439&amp;IF(O439="",""," - Balda "&amp;N439&amp;O439))</x:f>
      </x:c>
      <x:c r="Q439" s="37"/>
      <x:c r="R439" s="37"/>
      <x:c r="S439" s="49"/>
      <x:c r="T439" s="37"/>
      <x:c r="U439" s="37"/>
      <x:c r="V439" s="37"/>
      <x:c r="W439" s="34"/>
      <x:c r="X439" s="52"/>
      <x:c r="Y439" s="61" t="str">
        <x:f>IF(A439="","",IF(COUNTIF($A$6:$A$605,A439)&gt;1,"DUPLICADO","OK"))</x:f>
      </x:c>
      <x:c r="Z439" s="61" t="str">
        <x:f>IF(A439="","",IF(C439="","FALTA TÍTULO",IF(E439="","FALTA ÁREA",IF(W439&lt;&gt;"Sí","PENDIENTE","LISTO"))))</x:f>
      </x:c>
    </x:row>
    <x:row r="440">
      <x:c r="A440" s="40"/>
      <x:c r="B440" s="40"/>
      <x:c r="C440" s="37"/>
      <x:c r="D440" s="37"/>
      <x:c r="E440" s="37"/>
      <x:c r="F440" s="43"/>
      <x:c r="G440" s="43"/>
      <x:c r="H440" s="43"/>
      <x:c r="I440" s="55" t="str">
        <x:f>IF(OR(F440="",G440="",H440=""),"",F440&amp;" "&amp;UPPER(G440)&amp;"."&amp;LOWER(H440))</x:f>
      </x:c>
      <x:c r="J440" s="37"/>
      <x:c r="K440" s="37"/>
      <x:c r="L440" s="46"/>
      <x:c r="M440" s="43"/>
      <x:c r="N440" s="43"/>
      <x:c r="O440" s="43"/>
      <x:c r="P440" s="58" t="str">
        <x:f>IF(N440="","","Estantería "&amp;N440&amp;IF(O440="",""," - Balda "&amp;N440&amp;O440))</x:f>
      </x:c>
      <x:c r="Q440" s="37"/>
      <x:c r="R440" s="37"/>
      <x:c r="S440" s="49"/>
      <x:c r="T440" s="37"/>
      <x:c r="U440" s="37"/>
      <x:c r="V440" s="37"/>
      <x:c r="W440" s="34"/>
      <x:c r="X440" s="52"/>
      <x:c r="Y440" s="61" t="str">
        <x:f>IF(A440="","",IF(COUNTIF($A$6:$A$605,A440)&gt;1,"DUPLICADO","OK"))</x:f>
      </x:c>
      <x:c r="Z440" s="61" t="str">
        <x:f>IF(A440="","",IF(C440="","FALTA TÍTULO",IF(E440="","FALTA ÁREA",IF(W440&lt;&gt;"Sí","PENDIENTE","LISTO"))))</x:f>
      </x:c>
    </x:row>
    <x:row r="441">
      <x:c r="A441" s="40"/>
      <x:c r="B441" s="40"/>
      <x:c r="C441" s="37"/>
      <x:c r="D441" s="37"/>
      <x:c r="E441" s="37"/>
      <x:c r="F441" s="43"/>
      <x:c r="G441" s="43"/>
      <x:c r="H441" s="43"/>
      <x:c r="I441" s="55" t="str">
        <x:f>IF(OR(F441="",G441="",H441=""),"",F441&amp;" "&amp;UPPER(G441)&amp;"."&amp;LOWER(H441))</x:f>
      </x:c>
      <x:c r="J441" s="37"/>
      <x:c r="K441" s="37"/>
      <x:c r="L441" s="46"/>
      <x:c r="M441" s="43"/>
      <x:c r="N441" s="43"/>
      <x:c r="O441" s="43"/>
      <x:c r="P441" s="58" t="str">
        <x:f>IF(N441="","","Estantería "&amp;N441&amp;IF(O441="",""," - Balda "&amp;N441&amp;O441))</x:f>
      </x:c>
      <x:c r="Q441" s="37"/>
      <x:c r="R441" s="37"/>
      <x:c r="S441" s="49"/>
      <x:c r="T441" s="37"/>
      <x:c r="U441" s="37"/>
      <x:c r="V441" s="37"/>
      <x:c r="W441" s="34"/>
      <x:c r="X441" s="52"/>
      <x:c r="Y441" s="61" t="str">
        <x:f>IF(A441="","",IF(COUNTIF($A$6:$A$605,A441)&gt;1,"DUPLICADO","OK"))</x:f>
      </x:c>
      <x:c r="Z441" s="61" t="str">
        <x:f>IF(A441="","",IF(C441="","FALTA TÍTULO",IF(E441="","FALTA ÁREA",IF(W441&lt;&gt;"Sí","PENDIENTE","LISTO"))))</x:f>
      </x:c>
    </x:row>
    <x:row r="442">
      <x:c r="A442" s="40"/>
      <x:c r="B442" s="40"/>
      <x:c r="C442" s="37"/>
      <x:c r="D442" s="37"/>
      <x:c r="E442" s="37"/>
      <x:c r="F442" s="43"/>
      <x:c r="G442" s="43"/>
      <x:c r="H442" s="43"/>
      <x:c r="I442" s="55" t="str">
        <x:f>IF(OR(F442="",G442="",H442=""),"",F442&amp;" "&amp;UPPER(G442)&amp;"."&amp;LOWER(H442))</x:f>
      </x:c>
      <x:c r="J442" s="37"/>
      <x:c r="K442" s="37"/>
      <x:c r="L442" s="46"/>
      <x:c r="M442" s="43"/>
      <x:c r="N442" s="43"/>
      <x:c r="O442" s="43"/>
      <x:c r="P442" s="58" t="str">
        <x:f>IF(N442="","","Estantería "&amp;N442&amp;IF(O442="",""," - Balda "&amp;N442&amp;O442))</x:f>
      </x:c>
      <x:c r="Q442" s="37"/>
      <x:c r="R442" s="37"/>
      <x:c r="S442" s="49"/>
      <x:c r="T442" s="37"/>
      <x:c r="U442" s="37"/>
      <x:c r="V442" s="37"/>
      <x:c r="W442" s="34"/>
      <x:c r="X442" s="52"/>
      <x:c r="Y442" s="61" t="str">
        <x:f>IF(A442="","",IF(COUNTIF($A$6:$A$605,A442)&gt;1,"DUPLICADO","OK"))</x:f>
      </x:c>
      <x:c r="Z442" s="61" t="str">
        <x:f>IF(A442="","",IF(C442="","FALTA TÍTULO",IF(E442="","FALTA ÁREA",IF(W442&lt;&gt;"Sí","PENDIENTE","LISTO"))))</x:f>
      </x:c>
    </x:row>
    <x:row r="443">
      <x:c r="A443" s="40"/>
      <x:c r="B443" s="40"/>
      <x:c r="C443" s="37"/>
      <x:c r="D443" s="37"/>
      <x:c r="E443" s="37"/>
      <x:c r="F443" s="43"/>
      <x:c r="G443" s="43"/>
      <x:c r="H443" s="43"/>
      <x:c r="I443" s="55" t="str">
        <x:f>IF(OR(F443="",G443="",H443=""),"",F443&amp;" "&amp;UPPER(G443)&amp;"."&amp;LOWER(H443))</x:f>
      </x:c>
      <x:c r="J443" s="37"/>
      <x:c r="K443" s="37"/>
      <x:c r="L443" s="46"/>
      <x:c r="M443" s="43"/>
      <x:c r="N443" s="43"/>
      <x:c r="O443" s="43"/>
      <x:c r="P443" s="58" t="str">
        <x:f>IF(N443="","","Estantería "&amp;N443&amp;IF(O443="",""," - Balda "&amp;N443&amp;O443))</x:f>
      </x:c>
      <x:c r="Q443" s="37"/>
      <x:c r="R443" s="37"/>
      <x:c r="S443" s="49"/>
      <x:c r="T443" s="37"/>
      <x:c r="U443" s="37"/>
      <x:c r="V443" s="37"/>
      <x:c r="W443" s="34"/>
      <x:c r="X443" s="52"/>
      <x:c r="Y443" s="61" t="str">
        <x:f>IF(A443="","",IF(COUNTIF($A$6:$A$605,A443)&gt;1,"DUPLICADO","OK"))</x:f>
      </x:c>
      <x:c r="Z443" s="61" t="str">
        <x:f>IF(A443="","",IF(C443="","FALTA TÍTULO",IF(E443="","FALTA ÁREA",IF(W443&lt;&gt;"Sí","PENDIENTE","LISTO"))))</x:f>
      </x:c>
    </x:row>
    <x:row r="444">
      <x:c r="A444" s="40"/>
      <x:c r="B444" s="40"/>
      <x:c r="C444" s="37"/>
      <x:c r="D444" s="37"/>
      <x:c r="E444" s="37"/>
      <x:c r="F444" s="43"/>
      <x:c r="G444" s="43"/>
      <x:c r="H444" s="43"/>
      <x:c r="I444" s="55" t="str">
        <x:f>IF(OR(F444="",G444="",H444=""),"",F444&amp;" "&amp;UPPER(G444)&amp;"."&amp;LOWER(H444))</x:f>
      </x:c>
      <x:c r="J444" s="37"/>
      <x:c r="K444" s="37"/>
      <x:c r="L444" s="46"/>
      <x:c r="M444" s="43"/>
      <x:c r="N444" s="43"/>
      <x:c r="O444" s="43"/>
      <x:c r="P444" s="58" t="str">
        <x:f>IF(N444="","","Estantería "&amp;N444&amp;IF(O444="",""," - Balda "&amp;N444&amp;O444))</x:f>
      </x:c>
      <x:c r="Q444" s="37"/>
      <x:c r="R444" s="37"/>
      <x:c r="S444" s="49"/>
      <x:c r="T444" s="37"/>
      <x:c r="U444" s="37"/>
      <x:c r="V444" s="37"/>
      <x:c r="W444" s="34"/>
      <x:c r="X444" s="52"/>
      <x:c r="Y444" s="61" t="str">
        <x:f>IF(A444="","",IF(COUNTIF($A$6:$A$605,A444)&gt;1,"DUPLICADO","OK"))</x:f>
      </x:c>
      <x:c r="Z444" s="61" t="str">
        <x:f>IF(A444="","",IF(C444="","FALTA TÍTULO",IF(E444="","FALTA ÁREA",IF(W444&lt;&gt;"Sí","PENDIENTE","LISTO"))))</x:f>
      </x:c>
    </x:row>
    <x:row r="445">
      <x:c r="A445" s="40"/>
      <x:c r="B445" s="40"/>
      <x:c r="C445" s="37"/>
      <x:c r="D445" s="37"/>
      <x:c r="E445" s="37"/>
      <x:c r="F445" s="43"/>
      <x:c r="G445" s="43"/>
      <x:c r="H445" s="43"/>
      <x:c r="I445" s="55" t="str">
        <x:f>IF(OR(F445="",G445="",H445=""),"",F445&amp;" "&amp;UPPER(G445)&amp;"."&amp;LOWER(H445))</x:f>
      </x:c>
      <x:c r="J445" s="37"/>
      <x:c r="K445" s="37"/>
      <x:c r="L445" s="46"/>
      <x:c r="M445" s="43"/>
      <x:c r="N445" s="43"/>
      <x:c r="O445" s="43"/>
      <x:c r="P445" s="58" t="str">
        <x:f>IF(N445="","","Estantería "&amp;N445&amp;IF(O445="",""," - Balda "&amp;N445&amp;O445))</x:f>
      </x:c>
      <x:c r="Q445" s="37"/>
      <x:c r="R445" s="37"/>
      <x:c r="S445" s="49"/>
      <x:c r="T445" s="37"/>
      <x:c r="U445" s="37"/>
      <x:c r="V445" s="37"/>
      <x:c r="W445" s="34"/>
      <x:c r="X445" s="52"/>
      <x:c r="Y445" s="61" t="str">
        <x:f>IF(A445="","",IF(COUNTIF($A$6:$A$605,A445)&gt;1,"DUPLICADO","OK"))</x:f>
      </x:c>
      <x:c r="Z445" s="61" t="str">
        <x:f>IF(A445="","",IF(C445="","FALTA TÍTULO",IF(E445="","FALTA ÁREA",IF(W445&lt;&gt;"Sí","PENDIENTE","LISTO"))))</x:f>
      </x:c>
    </x:row>
    <x:row r="446">
      <x:c r="A446" s="40"/>
      <x:c r="B446" s="40"/>
      <x:c r="C446" s="37"/>
      <x:c r="D446" s="37"/>
      <x:c r="E446" s="37"/>
      <x:c r="F446" s="43"/>
      <x:c r="G446" s="43"/>
      <x:c r="H446" s="43"/>
      <x:c r="I446" s="55" t="str">
        <x:f>IF(OR(F446="",G446="",H446=""),"",F446&amp;" "&amp;UPPER(G446)&amp;"."&amp;LOWER(H446))</x:f>
      </x:c>
      <x:c r="J446" s="37"/>
      <x:c r="K446" s="37"/>
      <x:c r="L446" s="46"/>
      <x:c r="M446" s="43"/>
      <x:c r="N446" s="43"/>
      <x:c r="O446" s="43"/>
      <x:c r="P446" s="58" t="str">
        <x:f>IF(N446="","","Estantería "&amp;N446&amp;IF(O446="",""," - Balda "&amp;N446&amp;O446))</x:f>
      </x:c>
      <x:c r="Q446" s="37"/>
      <x:c r="R446" s="37"/>
      <x:c r="S446" s="49"/>
      <x:c r="T446" s="37"/>
      <x:c r="U446" s="37"/>
      <x:c r="V446" s="37"/>
      <x:c r="W446" s="34"/>
      <x:c r="X446" s="52"/>
      <x:c r="Y446" s="61" t="str">
        <x:f>IF(A446="","",IF(COUNTIF($A$6:$A$605,A446)&gt;1,"DUPLICADO","OK"))</x:f>
      </x:c>
      <x:c r="Z446" s="61" t="str">
        <x:f>IF(A446="","",IF(C446="","FALTA TÍTULO",IF(E446="","FALTA ÁREA",IF(W446&lt;&gt;"Sí","PENDIENTE","LISTO"))))</x:f>
      </x:c>
    </x:row>
    <x:row r="447">
      <x:c r="A447" s="40"/>
      <x:c r="B447" s="40"/>
      <x:c r="C447" s="37"/>
      <x:c r="D447" s="37"/>
      <x:c r="E447" s="37"/>
      <x:c r="F447" s="43"/>
      <x:c r="G447" s="43"/>
      <x:c r="H447" s="43"/>
      <x:c r="I447" s="55" t="str">
        <x:f>IF(OR(F447="",G447="",H447=""),"",F447&amp;" "&amp;UPPER(G447)&amp;"."&amp;LOWER(H447))</x:f>
      </x:c>
      <x:c r="J447" s="37"/>
      <x:c r="K447" s="37"/>
      <x:c r="L447" s="46"/>
      <x:c r="M447" s="43"/>
      <x:c r="N447" s="43"/>
      <x:c r="O447" s="43"/>
      <x:c r="P447" s="58" t="str">
        <x:f>IF(N447="","","Estantería "&amp;N447&amp;IF(O447="",""," - Balda "&amp;N447&amp;O447))</x:f>
      </x:c>
      <x:c r="Q447" s="37"/>
      <x:c r="R447" s="37"/>
      <x:c r="S447" s="49"/>
      <x:c r="T447" s="37"/>
      <x:c r="U447" s="37"/>
      <x:c r="V447" s="37"/>
      <x:c r="W447" s="34"/>
      <x:c r="X447" s="52"/>
      <x:c r="Y447" s="61" t="str">
        <x:f>IF(A447="","",IF(COUNTIF($A$6:$A$605,A447)&gt;1,"DUPLICADO","OK"))</x:f>
      </x:c>
      <x:c r="Z447" s="61" t="str">
        <x:f>IF(A447="","",IF(C447="","FALTA TÍTULO",IF(E447="","FALTA ÁREA",IF(W447&lt;&gt;"Sí","PENDIENTE","LISTO"))))</x:f>
      </x:c>
    </x:row>
    <x:row r="448">
      <x:c r="A448" s="40"/>
      <x:c r="B448" s="40"/>
      <x:c r="C448" s="37"/>
      <x:c r="D448" s="37"/>
      <x:c r="E448" s="37"/>
      <x:c r="F448" s="43"/>
      <x:c r="G448" s="43"/>
      <x:c r="H448" s="43"/>
      <x:c r="I448" s="55" t="str">
        <x:f>IF(OR(F448="",G448="",H448=""),"",F448&amp;" "&amp;UPPER(G448)&amp;"."&amp;LOWER(H448))</x:f>
      </x:c>
      <x:c r="J448" s="37"/>
      <x:c r="K448" s="37"/>
      <x:c r="L448" s="46"/>
      <x:c r="M448" s="43"/>
      <x:c r="N448" s="43"/>
      <x:c r="O448" s="43"/>
      <x:c r="P448" s="58" t="str">
        <x:f>IF(N448="","","Estantería "&amp;N448&amp;IF(O448="",""," - Balda "&amp;N448&amp;O448))</x:f>
      </x:c>
      <x:c r="Q448" s="37"/>
      <x:c r="R448" s="37"/>
      <x:c r="S448" s="49"/>
      <x:c r="T448" s="37"/>
      <x:c r="U448" s="37"/>
      <x:c r="V448" s="37"/>
      <x:c r="W448" s="34"/>
      <x:c r="X448" s="52"/>
      <x:c r="Y448" s="61" t="str">
        <x:f>IF(A448="","",IF(COUNTIF($A$6:$A$605,A448)&gt;1,"DUPLICADO","OK"))</x:f>
      </x:c>
      <x:c r="Z448" s="61" t="str">
        <x:f>IF(A448="","",IF(C448="","FALTA TÍTULO",IF(E448="","FALTA ÁREA",IF(W448&lt;&gt;"Sí","PENDIENTE","LISTO"))))</x:f>
      </x:c>
    </x:row>
    <x:row r="449">
      <x:c r="A449" s="40"/>
      <x:c r="B449" s="40"/>
      <x:c r="C449" s="37"/>
      <x:c r="D449" s="37"/>
      <x:c r="E449" s="37"/>
      <x:c r="F449" s="43"/>
      <x:c r="G449" s="43"/>
      <x:c r="H449" s="43"/>
      <x:c r="I449" s="55" t="str">
        <x:f>IF(OR(F449="",G449="",H449=""),"",F449&amp;" "&amp;UPPER(G449)&amp;"."&amp;LOWER(H449))</x:f>
      </x:c>
      <x:c r="J449" s="37"/>
      <x:c r="K449" s="37"/>
      <x:c r="L449" s="46"/>
      <x:c r="M449" s="43"/>
      <x:c r="N449" s="43"/>
      <x:c r="O449" s="43"/>
      <x:c r="P449" s="58" t="str">
        <x:f>IF(N449="","","Estantería "&amp;N449&amp;IF(O449="",""," - Balda "&amp;N449&amp;O449))</x:f>
      </x:c>
      <x:c r="Q449" s="37"/>
      <x:c r="R449" s="37"/>
      <x:c r="S449" s="49"/>
      <x:c r="T449" s="37"/>
      <x:c r="U449" s="37"/>
      <x:c r="V449" s="37"/>
      <x:c r="W449" s="34"/>
      <x:c r="X449" s="52"/>
      <x:c r="Y449" s="61" t="str">
        <x:f>IF(A449="","",IF(COUNTIF($A$6:$A$605,A449)&gt;1,"DUPLICADO","OK"))</x:f>
      </x:c>
      <x:c r="Z449" s="61" t="str">
        <x:f>IF(A449="","",IF(C449="","FALTA TÍTULO",IF(E449="","FALTA ÁREA",IF(W449&lt;&gt;"Sí","PENDIENTE","LISTO"))))</x:f>
      </x:c>
    </x:row>
    <x:row r="450">
      <x:c r="A450" s="40"/>
      <x:c r="B450" s="40"/>
      <x:c r="C450" s="37"/>
      <x:c r="D450" s="37"/>
      <x:c r="E450" s="37"/>
      <x:c r="F450" s="43"/>
      <x:c r="G450" s="43"/>
      <x:c r="H450" s="43"/>
      <x:c r="I450" s="55" t="str">
        <x:f>IF(OR(F450="",G450="",H450=""),"",F450&amp;" "&amp;UPPER(G450)&amp;"."&amp;LOWER(H450))</x:f>
      </x:c>
      <x:c r="J450" s="37"/>
      <x:c r="K450" s="37"/>
      <x:c r="L450" s="46"/>
      <x:c r="M450" s="43"/>
      <x:c r="N450" s="43"/>
      <x:c r="O450" s="43"/>
      <x:c r="P450" s="58" t="str">
        <x:f>IF(N450="","","Estantería "&amp;N450&amp;IF(O450="",""," - Balda "&amp;N450&amp;O450))</x:f>
      </x:c>
      <x:c r="Q450" s="37"/>
      <x:c r="R450" s="37"/>
      <x:c r="S450" s="49"/>
      <x:c r="T450" s="37"/>
      <x:c r="U450" s="37"/>
      <x:c r="V450" s="37"/>
      <x:c r="W450" s="34"/>
      <x:c r="X450" s="52"/>
      <x:c r="Y450" s="61" t="str">
        <x:f>IF(A450="","",IF(COUNTIF($A$6:$A$605,A450)&gt;1,"DUPLICADO","OK"))</x:f>
      </x:c>
      <x:c r="Z450" s="61" t="str">
        <x:f>IF(A450="","",IF(C450="","FALTA TÍTULO",IF(E450="","FALTA ÁREA",IF(W450&lt;&gt;"Sí","PENDIENTE","LISTO"))))</x:f>
      </x:c>
    </x:row>
    <x:row r="451">
      <x:c r="A451" s="40"/>
      <x:c r="B451" s="40"/>
      <x:c r="C451" s="37"/>
      <x:c r="D451" s="37"/>
      <x:c r="E451" s="37"/>
      <x:c r="F451" s="43"/>
      <x:c r="G451" s="43"/>
      <x:c r="H451" s="43"/>
      <x:c r="I451" s="55" t="str">
        <x:f>IF(OR(F451="",G451="",H451=""),"",F451&amp;" "&amp;UPPER(G451)&amp;"."&amp;LOWER(H451))</x:f>
      </x:c>
      <x:c r="J451" s="37"/>
      <x:c r="K451" s="37"/>
      <x:c r="L451" s="46"/>
      <x:c r="M451" s="43"/>
      <x:c r="N451" s="43"/>
      <x:c r="O451" s="43"/>
      <x:c r="P451" s="58" t="str">
        <x:f>IF(N451="","","Estantería "&amp;N451&amp;IF(O451="",""," - Balda "&amp;N451&amp;O451))</x:f>
      </x:c>
      <x:c r="Q451" s="37"/>
      <x:c r="R451" s="37"/>
      <x:c r="S451" s="49"/>
      <x:c r="T451" s="37"/>
      <x:c r="U451" s="37"/>
      <x:c r="V451" s="37"/>
      <x:c r="W451" s="34"/>
      <x:c r="X451" s="52"/>
      <x:c r="Y451" s="61" t="str">
        <x:f>IF(A451="","",IF(COUNTIF($A$6:$A$605,A451)&gt;1,"DUPLICADO","OK"))</x:f>
      </x:c>
      <x:c r="Z451" s="61" t="str">
        <x:f>IF(A451="","",IF(C451="","FALTA TÍTULO",IF(E451="","FALTA ÁREA",IF(W451&lt;&gt;"Sí","PENDIENTE","LISTO"))))</x:f>
      </x:c>
    </x:row>
    <x:row r="452">
      <x:c r="A452" s="40"/>
      <x:c r="B452" s="40"/>
      <x:c r="C452" s="37"/>
      <x:c r="D452" s="37"/>
      <x:c r="E452" s="37"/>
      <x:c r="F452" s="43"/>
      <x:c r="G452" s="43"/>
      <x:c r="H452" s="43"/>
      <x:c r="I452" s="55" t="str">
        <x:f>IF(OR(F452="",G452="",H452=""),"",F452&amp;" "&amp;UPPER(G452)&amp;"."&amp;LOWER(H452))</x:f>
      </x:c>
      <x:c r="J452" s="37"/>
      <x:c r="K452" s="37"/>
      <x:c r="L452" s="46"/>
      <x:c r="M452" s="43"/>
      <x:c r="N452" s="43"/>
      <x:c r="O452" s="43"/>
      <x:c r="P452" s="58" t="str">
        <x:f>IF(N452="","","Estantería "&amp;N452&amp;IF(O452="",""," - Balda "&amp;N452&amp;O452))</x:f>
      </x:c>
      <x:c r="Q452" s="37"/>
      <x:c r="R452" s="37"/>
      <x:c r="S452" s="49"/>
      <x:c r="T452" s="37"/>
      <x:c r="U452" s="37"/>
      <x:c r="V452" s="37"/>
      <x:c r="W452" s="34"/>
      <x:c r="X452" s="52"/>
      <x:c r="Y452" s="61" t="str">
        <x:f>IF(A452="","",IF(COUNTIF($A$6:$A$605,A452)&gt;1,"DUPLICADO","OK"))</x:f>
      </x:c>
      <x:c r="Z452" s="61" t="str">
        <x:f>IF(A452="","",IF(C452="","FALTA TÍTULO",IF(E452="","FALTA ÁREA",IF(W452&lt;&gt;"Sí","PENDIENTE","LISTO"))))</x:f>
      </x:c>
    </x:row>
    <x:row r="453">
      <x:c r="A453" s="40"/>
      <x:c r="B453" s="40"/>
      <x:c r="C453" s="37"/>
      <x:c r="D453" s="37"/>
      <x:c r="E453" s="37"/>
      <x:c r="F453" s="43"/>
      <x:c r="G453" s="43"/>
      <x:c r="H453" s="43"/>
      <x:c r="I453" s="55" t="str">
        <x:f>IF(OR(F453="",G453="",H453=""),"",F453&amp;" "&amp;UPPER(G453)&amp;"."&amp;LOWER(H453))</x:f>
      </x:c>
      <x:c r="J453" s="37"/>
      <x:c r="K453" s="37"/>
      <x:c r="L453" s="46"/>
      <x:c r="M453" s="43"/>
      <x:c r="N453" s="43"/>
      <x:c r="O453" s="43"/>
      <x:c r="P453" s="58" t="str">
        <x:f>IF(N453="","","Estantería "&amp;N453&amp;IF(O453="",""," - Balda "&amp;N453&amp;O453))</x:f>
      </x:c>
      <x:c r="Q453" s="37"/>
      <x:c r="R453" s="37"/>
      <x:c r="S453" s="49"/>
      <x:c r="T453" s="37"/>
      <x:c r="U453" s="37"/>
      <x:c r="V453" s="37"/>
      <x:c r="W453" s="34"/>
      <x:c r="X453" s="52"/>
      <x:c r="Y453" s="61" t="str">
        <x:f>IF(A453="","",IF(COUNTIF($A$6:$A$605,A453)&gt;1,"DUPLICADO","OK"))</x:f>
      </x:c>
      <x:c r="Z453" s="61" t="str">
        <x:f>IF(A453="","",IF(C453="","FALTA TÍTULO",IF(E453="","FALTA ÁREA",IF(W453&lt;&gt;"Sí","PENDIENTE","LISTO"))))</x:f>
      </x:c>
    </x:row>
    <x:row r="454">
      <x:c r="A454" s="40"/>
      <x:c r="B454" s="40"/>
      <x:c r="C454" s="37"/>
      <x:c r="D454" s="37"/>
      <x:c r="E454" s="37"/>
      <x:c r="F454" s="43"/>
      <x:c r="G454" s="43"/>
      <x:c r="H454" s="43"/>
      <x:c r="I454" s="55" t="str">
        <x:f>IF(OR(F454="",G454="",H454=""),"",F454&amp;" "&amp;UPPER(G454)&amp;"."&amp;LOWER(H454))</x:f>
      </x:c>
      <x:c r="J454" s="37"/>
      <x:c r="K454" s="37"/>
      <x:c r="L454" s="46"/>
      <x:c r="M454" s="43"/>
      <x:c r="N454" s="43"/>
      <x:c r="O454" s="43"/>
      <x:c r="P454" s="58" t="str">
        <x:f>IF(N454="","","Estantería "&amp;N454&amp;IF(O454="",""," - Balda "&amp;N454&amp;O454))</x:f>
      </x:c>
      <x:c r="Q454" s="37"/>
      <x:c r="R454" s="37"/>
      <x:c r="S454" s="49"/>
      <x:c r="T454" s="37"/>
      <x:c r="U454" s="37"/>
      <x:c r="V454" s="37"/>
      <x:c r="W454" s="34"/>
      <x:c r="X454" s="52"/>
      <x:c r="Y454" s="61" t="str">
        <x:f>IF(A454="","",IF(COUNTIF($A$6:$A$605,A454)&gt;1,"DUPLICADO","OK"))</x:f>
      </x:c>
      <x:c r="Z454" s="61" t="str">
        <x:f>IF(A454="","",IF(C454="","FALTA TÍTULO",IF(E454="","FALTA ÁREA",IF(W454&lt;&gt;"Sí","PENDIENTE","LISTO"))))</x:f>
      </x:c>
    </x:row>
    <x:row r="455">
      <x:c r="A455" s="40"/>
      <x:c r="B455" s="40"/>
      <x:c r="C455" s="37"/>
      <x:c r="D455" s="37"/>
      <x:c r="E455" s="37"/>
      <x:c r="F455" s="43"/>
      <x:c r="G455" s="43"/>
      <x:c r="H455" s="43"/>
      <x:c r="I455" s="55" t="str">
        <x:f>IF(OR(F455="",G455="",H455=""),"",F455&amp;" "&amp;UPPER(G455)&amp;"."&amp;LOWER(H455))</x:f>
      </x:c>
      <x:c r="J455" s="37"/>
      <x:c r="K455" s="37"/>
      <x:c r="L455" s="46"/>
      <x:c r="M455" s="43"/>
      <x:c r="N455" s="43"/>
      <x:c r="O455" s="43"/>
      <x:c r="P455" s="58" t="str">
        <x:f>IF(N455="","","Estantería "&amp;N455&amp;IF(O455="",""," - Balda "&amp;N455&amp;O455))</x:f>
      </x:c>
      <x:c r="Q455" s="37"/>
      <x:c r="R455" s="37"/>
      <x:c r="S455" s="49"/>
      <x:c r="T455" s="37"/>
      <x:c r="U455" s="37"/>
      <x:c r="V455" s="37"/>
      <x:c r="W455" s="34"/>
      <x:c r="X455" s="52"/>
      <x:c r="Y455" s="61" t="str">
        <x:f>IF(A455="","",IF(COUNTIF($A$6:$A$605,A455)&gt;1,"DUPLICADO","OK"))</x:f>
      </x:c>
      <x:c r="Z455" s="61" t="str">
        <x:f>IF(A455="","",IF(C455="","FALTA TÍTULO",IF(E455="","FALTA ÁREA",IF(W455&lt;&gt;"Sí","PENDIENTE","LISTO"))))</x:f>
      </x:c>
    </x:row>
    <x:row r="456">
      <x:c r="A456" s="40"/>
      <x:c r="B456" s="40"/>
      <x:c r="C456" s="37"/>
      <x:c r="D456" s="37"/>
      <x:c r="E456" s="37"/>
      <x:c r="F456" s="43"/>
      <x:c r="G456" s="43"/>
      <x:c r="H456" s="43"/>
      <x:c r="I456" s="55" t="str">
        <x:f>IF(OR(F456="",G456="",H456=""),"",F456&amp;" "&amp;UPPER(G456)&amp;"."&amp;LOWER(H456))</x:f>
      </x:c>
      <x:c r="J456" s="37"/>
      <x:c r="K456" s="37"/>
      <x:c r="L456" s="46"/>
      <x:c r="M456" s="43"/>
      <x:c r="N456" s="43"/>
      <x:c r="O456" s="43"/>
      <x:c r="P456" s="58" t="str">
        <x:f>IF(N456="","","Estantería "&amp;N456&amp;IF(O456="",""," - Balda "&amp;N456&amp;O456))</x:f>
      </x:c>
      <x:c r="Q456" s="37"/>
      <x:c r="R456" s="37"/>
      <x:c r="S456" s="49"/>
      <x:c r="T456" s="37"/>
      <x:c r="U456" s="37"/>
      <x:c r="V456" s="37"/>
      <x:c r="W456" s="34"/>
      <x:c r="X456" s="52"/>
      <x:c r="Y456" s="61" t="str">
        <x:f>IF(A456="","",IF(COUNTIF($A$6:$A$605,A456)&gt;1,"DUPLICADO","OK"))</x:f>
      </x:c>
      <x:c r="Z456" s="61" t="str">
        <x:f>IF(A456="","",IF(C456="","FALTA TÍTULO",IF(E456="","FALTA ÁREA",IF(W456&lt;&gt;"Sí","PENDIENTE","LISTO"))))</x:f>
      </x:c>
    </x:row>
    <x:row r="457">
      <x:c r="A457" s="40"/>
      <x:c r="B457" s="40"/>
      <x:c r="C457" s="37"/>
      <x:c r="D457" s="37"/>
      <x:c r="E457" s="37"/>
      <x:c r="F457" s="43"/>
      <x:c r="G457" s="43"/>
      <x:c r="H457" s="43"/>
      <x:c r="I457" s="55" t="str">
        <x:f>IF(OR(F457="",G457="",H457=""),"",F457&amp;" "&amp;UPPER(G457)&amp;"."&amp;LOWER(H457))</x:f>
      </x:c>
      <x:c r="J457" s="37"/>
      <x:c r="K457" s="37"/>
      <x:c r="L457" s="46"/>
      <x:c r="M457" s="43"/>
      <x:c r="N457" s="43"/>
      <x:c r="O457" s="43"/>
      <x:c r="P457" s="58" t="str">
        <x:f>IF(N457="","","Estantería "&amp;N457&amp;IF(O457="",""," - Balda "&amp;N457&amp;O457))</x:f>
      </x:c>
      <x:c r="Q457" s="37"/>
      <x:c r="R457" s="37"/>
      <x:c r="S457" s="49"/>
      <x:c r="T457" s="37"/>
      <x:c r="U457" s="37"/>
      <x:c r="V457" s="37"/>
      <x:c r="W457" s="34"/>
      <x:c r="X457" s="52"/>
      <x:c r="Y457" s="61" t="str">
        <x:f>IF(A457="","",IF(COUNTIF($A$6:$A$605,A457)&gt;1,"DUPLICADO","OK"))</x:f>
      </x:c>
      <x:c r="Z457" s="61" t="str">
        <x:f>IF(A457="","",IF(C457="","FALTA TÍTULO",IF(E457="","FALTA ÁREA",IF(W457&lt;&gt;"Sí","PENDIENTE","LISTO"))))</x:f>
      </x:c>
    </x:row>
    <x:row r="458">
      <x:c r="A458" s="40"/>
      <x:c r="B458" s="40"/>
      <x:c r="C458" s="37"/>
      <x:c r="D458" s="37"/>
      <x:c r="E458" s="37"/>
      <x:c r="F458" s="43"/>
      <x:c r="G458" s="43"/>
      <x:c r="H458" s="43"/>
      <x:c r="I458" s="55" t="str">
        <x:f>IF(OR(F458="",G458="",H458=""),"",F458&amp;" "&amp;UPPER(G458)&amp;"."&amp;LOWER(H458))</x:f>
      </x:c>
      <x:c r="J458" s="37"/>
      <x:c r="K458" s="37"/>
      <x:c r="L458" s="46"/>
      <x:c r="M458" s="43"/>
      <x:c r="N458" s="43"/>
      <x:c r="O458" s="43"/>
      <x:c r="P458" s="58" t="str">
        <x:f>IF(N458="","","Estantería "&amp;N458&amp;IF(O458="",""," - Balda "&amp;N458&amp;O458))</x:f>
      </x:c>
      <x:c r="Q458" s="37"/>
      <x:c r="R458" s="37"/>
      <x:c r="S458" s="49"/>
      <x:c r="T458" s="37"/>
      <x:c r="U458" s="37"/>
      <x:c r="V458" s="37"/>
      <x:c r="W458" s="34"/>
      <x:c r="X458" s="52"/>
      <x:c r="Y458" s="61" t="str">
        <x:f>IF(A458="","",IF(COUNTIF($A$6:$A$605,A458)&gt;1,"DUPLICADO","OK"))</x:f>
      </x:c>
      <x:c r="Z458" s="61" t="str">
        <x:f>IF(A458="","",IF(C458="","FALTA TÍTULO",IF(E458="","FALTA ÁREA",IF(W458&lt;&gt;"Sí","PENDIENTE","LISTO"))))</x:f>
      </x:c>
    </x:row>
    <x:row r="459">
      <x:c r="A459" s="40"/>
      <x:c r="B459" s="40"/>
      <x:c r="C459" s="37"/>
      <x:c r="D459" s="37"/>
      <x:c r="E459" s="37"/>
      <x:c r="F459" s="43"/>
      <x:c r="G459" s="43"/>
      <x:c r="H459" s="43"/>
      <x:c r="I459" s="55" t="str">
        <x:f>IF(OR(F459="",G459="",H459=""),"",F459&amp;" "&amp;UPPER(G459)&amp;"."&amp;LOWER(H459))</x:f>
      </x:c>
      <x:c r="J459" s="37"/>
      <x:c r="K459" s="37"/>
      <x:c r="L459" s="46"/>
      <x:c r="M459" s="43"/>
      <x:c r="N459" s="43"/>
      <x:c r="O459" s="43"/>
      <x:c r="P459" s="58" t="str">
        <x:f>IF(N459="","","Estantería "&amp;N459&amp;IF(O459="",""," - Balda "&amp;N459&amp;O459))</x:f>
      </x:c>
      <x:c r="Q459" s="37"/>
      <x:c r="R459" s="37"/>
      <x:c r="S459" s="49"/>
      <x:c r="T459" s="37"/>
      <x:c r="U459" s="37"/>
      <x:c r="V459" s="37"/>
      <x:c r="W459" s="34"/>
      <x:c r="X459" s="52"/>
      <x:c r="Y459" s="61" t="str">
        <x:f>IF(A459="","",IF(COUNTIF($A$6:$A$605,A459)&gt;1,"DUPLICADO","OK"))</x:f>
      </x:c>
      <x:c r="Z459" s="61" t="str">
        <x:f>IF(A459="","",IF(C459="","FALTA TÍTULO",IF(E459="","FALTA ÁREA",IF(W459&lt;&gt;"Sí","PENDIENTE","LISTO"))))</x:f>
      </x:c>
    </x:row>
    <x:row r="460">
      <x:c r="A460" s="40"/>
      <x:c r="B460" s="40"/>
      <x:c r="C460" s="37"/>
      <x:c r="D460" s="37"/>
      <x:c r="E460" s="37"/>
      <x:c r="F460" s="43"/>
      <x:c r="G460" s="43"/>
      <x:c r="H460" s="43"/>
      <x:c r="I460" s="55" t="str">
        <x:f>IF(OR(F460="",G460="",H460=""),"",F460&amp;" "&amp;UPPER(G460)&amp;"."&amp;LOWER(H460))</x:f>
      </x:c>
      <x:c r="J460" s="37"/>
      <x:c r="K460" s="37"/>
      <x:c r="L460" s="46"/>
      <x:c r="M460" s="43"/>
      <x:c r="N460" s="43"/>
      <x:c r="O460" s="43"/>
      <x:c r="P460" s="58" t="str">
        <x:f>IF(N460="","","Estantería "&amp;N460&amp;IF(O460="",""," - Balda "&amp;N460&amp;O460))</x:f>
      </x:c>
      <x:c r="Q460" s="37"/>
      <x:c r="R460" s="37"/>
      <x:c r="S460" s="49"/>
      <x:c r="T460" s="37"/>
      <x:c r="U460" s="37"/>
      <x:c r="V460" s="37"/>
      <x:c r="W460" s="34"/>
      <x:c r="X460" s="52"/>
      <x:c r="Y460" s="61" t="str">
        <x:f>IF(A460="","",IF(COUNTIF($A$6:$A$605,A460)&gt;1,"DUPLICADO","OK"))</x:f>
      </x:c>
      <x:c r="Z460" s="61" t="str">
        <x:f>IF(A460="","",IF(C460="","FALTA TÍTULO",IF(E460="","FALTA ÁREA",IF(W460&lt;&gt;"Sí","PENDIENTE","LISTO"))))</x:f>
      </x:c>
    </x:row>
    <x:row r="461">
      <x:c r="A461" s="40"/>
      <x:c r="B461" s="40"/>
      <x:c r="C461" s="37"/>
      <x:c r="D461" s="37"/>
      <x:c r="E461" s="37"/>
      <x:c r="F461" s="43"/>
      <x:c r="G461" s="43"/>
      <x:c r="H461" s="43"/>
      <x:c r="I461" s="55" t="str">
        <x:f>IF(OR(F461="",G461="",H461=""),"",F461&amp;" "&amp;UPPER(G461)&amp;"."&amp;LOWER(H461))</x:f>
      </x:c>
      <x:c r="J461" s="37"/>
      <x:c r="K461" s="37"/>
      <x:c r="L461" s="46"/>
      <x:c r="M461" s="43"/>
      <x:c r="N461" s="43"/>
      <x:c r="O461" s="43"/>
      <x:c r="P461" s="58" t="str">
        <x:f>IF(N461="","","Estantería "&amp;N461&amp;IF(O461="",""," - Balda "&amp;N461&amp;O461))</x:f>
      </x:c>
      <x:c r="Q461" s="37"/>
      <x:c r="R461" s="37"/>
      <x:c r="S461" s="49"/>
      <x:c r="T461" s="37"/>
      <x:c r="U461" s="37"/>
      <x:c r="V461" s="37"/>
      <x:c r="W461" s="34"/>
      <x:c r="X461" s="52"/>
      <x:c r="Y461" s="61" t="str">
        <x:f>IF(A461="","",IF(COUNTIF($A$6:$A$605,A461)&gt;1,"DUPLICADO","OK"))</x:f>
      </x:c>
      <x:c r="Z461" s="61" t="str">
        <x:f>IF(A461="","",IF(C461="","FALTA TÍTULO",IF(E461="","FALTA ÁREA",IF(W461&lt;&gt;"Sí","PENDIENTE","LISTO"))))</x:f>
      </x:c>
    </x:row>
    <x:row r="462">
      <x:c r="A462" s="40"/>
      <x:c r="B462" s="40"/>
      <x:c r="C462" s="37"/>
      <x:c r="D462" s="37"/>
      <x:c r="E462" s="37"/>
      <x:c r="F462" s="43"/>
      <x:c r="G462" s="43"/>
      <x:c r="H462" s="43"/>
      <x:c r="I462" s="55" t="str">
        <x:f>IF(OR(F462="",G462="",H462=""),"",F462&amp;" "&amp;UPPER(G462)&amp;"."&amp;LOWER(H462))</x:f>
      </x:c>
      <x:c r="J462" s="37"/>
      <x:c r="K462" s="37"/>
      <x:c r="L462" s="46"/>
      <x:c r="M462" s="43"/>
      <x:c r="N462" s="43"/>
      <x:c r="O462" s="43"/>
      <x:c r="P462" s="58" t="str">
        <x:f>IF(N462="","","Estantería "&amp;N462&amp;IF(O462="",""," - Balda "&amp;N462&amp;O462))</x:f>
      </x:c>
      <x:c r="Q462" s="37"/>
      <x:c r="R462" s="37"/>
      <x:c r="S462" s="49"/>
      <x:c r="T462" s="37"/>
      <x:c r="U462" s="37"/>
      <x:c r="V462" s="37"/>
      <x:c r="W462" s="34"/>
      <x:c r="X462" s="52"/>
      <x:c r="Y462" s="61" t="str">
        <x:f>IF(A462="","",IF(COUNTIF($A$6:$A$605,A462)&gt;1,"DUPLICADO","OK"))</x:f>
      </x:c>
      <x:c r="Z462" s="61" t="str">
        <x:f>IF(A462="","",IF(C462="","FALTA TÍTULO",IF(E462="","FALTA ÁREA",IF(W462&lt;&gt;"Sí","PENDIENTE","LISTO"))))</x:f>
      </x:c>
    </x:row>
    <x:row r="463">
      <x:c r="A463" s="40"/>
      <x:c r="B463" s="40"/>
      <x:c r="C463" s="37"/>
      <x:c r="D463" s="37"/>
      <x:c r="E463" s="37"/>
      <x:c r="F463" s="43"/>
      <x:c r="G463" s="43"/>
      <x:c r="H463" s="43"/>
      <x:c r="I463" s="55" t="str">
        <x:f>IF(OR(F463="",G463="",H463=""),"",F463&amp;" "&amp;UPPER(G463)&amp;"."&amp;LOWER(H463))</x:f>
      </x:c>
      <x:c r="J463" s="37"/>
      <x:c r="K463" s="37"/>
      <x:c r="L463" s="46"/>
      <x:c r="M463" s="43"/>
      <x:c r="N463" s="43"/>
      <x:c r="O463" s="43"/>
      <x:c r="P463" s="58" t="str">
        <x:f>IF(N463="","","Estantería "&amp;N463&amp;IF(O463="",""," - Balda "&amp;N463&amp;O463))</x:f>
      </x:c>
      <x:c r="Q463" s="37"/>
      <x:c r="R463" s="37"/>
      <x:c r="S463" s="49"/>
      <x:c r="T463" s="37"/>
      <x:c r="U463" s="37"/>
      <x:c r="V463" s="37"/>
      <x:c r="W463" s="34"/>
      <x:c r="X463" s="52"/>
      <x:c r="Y463" s="61" t="str">
        <x:f>IF(A463="","",IF(COUNTIF($A$6:$A$605,A463)&gt;1,"DUPLICADO","OK"))</x:f>
      </x:c>
      <x:c r="Z463" s="61" t="str">
        <x:f>IF(A463="","",IF(C463="","FALTA TÍTULO",IF(E463="","FALTA ÁREA",IF(W463&lt;&gt;"Sí","PENDIENTE","LISTO"))))</x:f>
      </x:c>
    </x:row>
    <x:row r="464">
      <x:c r="A464" s="40"/>
      <x:c r="B464" s="40"/>
      <x:c r="C464" s="37"/>
      <x:c r="D464" s="37"/>
      <x:c r="E464" s="37"/>
      <x:c r="F464" s="43"/>
      <x:c r="G464" s="43"/>
      <x:c r="H464" s="43"/>
      <x:c r="I464" s="55" t="str">
        <x:f>IF(OR(F464="",G464="",H464=""),"",F464&amp;" "&amp;UPPER(G464)&amp;"."&amp;LOWER(H464))</x:f>
      </x:c>
      <x:c r="J464" s="37"/>
      <x:c r="K464" s="37"/>
      <x:c r="L464" s="46"/>
      <x:c r="M464" s="43"/>
      <x:c r="N464" s="43"/>
      <x:c r="O464" s="43"/>
      <x:c r="P464" s="58" t="str">
        <x:f>IF(N464="","","Estantería "&amp;N464&amp;IF(O464="",""," - Balda "&amp;N464&amp;O464))</x:f>
      </x:c>
      <x:c r="Q464" s="37"/>
      <x:c r="R464" s="37"/>
      <x:c r="S464" s="49"/>
      <x:c r="T464" s="37"/>
      <x:c r="U464" s="37"/>
      <x:c r="V464" s="37"/>
      <x:c r="W464" s="34"/>
      <x:c r="X464" s="52"/>
      <x:c r="Y464" s="61" t="str">
        <x:f>IF(A464="","",IF(COUNTIF($A$6:$A$605,A464)&gt;1,"DUPLICADO","OK"))</x:f>
      </x:c>
      <x:c r="Z464" s="61" t="str">
        <x:f>IF(A464="","",IF(C464="","FALTA TÍTULO",IF(E464="","FALTA ÁREA",IF(W464&lt;&gt;"Sí","PENDIENTE","LISTO"))))</x:f>
      </x:c>
    </x:row>
    <x:row r="465">
      <x:c r="A465" s="40"/>
      <x:c r="B465" s="40"/>
      <x:c r="C465" s="37"/>
      <x:c r="D465" s="37"/>
      <x:c r="E465" s="37"/>
      <x:c r="F465" s="43"/>
      <x:c r="G465" s="43"/>
      <x:c r="H465" s="43"/>
      <x:c r="I465" s="55" t="str">
        <x:f>IF(OR(F465="",G465="",H465=""),"",F465&amp;" "&amp;UPPER(G465)&amp;"."&amp;LOWER(H465))</x:f>
      </x:c>
      <x:c r="J465" s="37"/>
      <x:c r="K465" s="37"/>
      <x:c r="L465" s="46"/>
      <x:c r="M465" s="43"/>
      <x:c r="N465" s="43"/>
      <x:c r="O465" s="43"/>
      <x:c r="P465" s="58" t="str">
        <x:f>IF(N465="","","Estantería "&amp;N465&amp;IF(O465="",""," - Balda "&amp;N465&amp;O465))</x:f>
      </x:c>
      <x:c r="Q465" s="37"/>
      <x:c r="R465" s="37"/>
      <x:c r="S465" s="49"/>
      <x:c r="T465" s="37"/>
      <x:c r="U465" s="37"/>
      <x:c r="V465" s="37"/>
      <x:c r="W465" s="34"/>
      <x:c r="X465" s="52"/>
      <x:c r="Y465" s="61" t="str">
        <x:f>IF(A465="","",IF(COUNTIF($A$6:$A$605,A465)&gt;1,"DUPLICADO","OK"))</x:f>
      </x:c>
      <x:c r="Z465" s="61" t="str">
        <x:f>IF(A465="","",IF(C465="","FALTA TÍTULO",IF(E465="","FALTA ÁREA",IF(W465&lt;&gt;"Sí","PENDIENTE","LISTO"))))</x:f>
      </x:c>
    </x:row>
    <x:row r="466">
      <x:c r="A466" s="40"/>
      <x:c r="B466" s="40"/>
      <x:c r="C466" s="37"/>
      <x:c r="D466" s="37"/>
      <x:c r="E466" s="37"/>
      <x:c r="F466" s="43"/>
      <x:c r="G466" s="43"/>
      <x:c r="H466" s="43"/>
      <x:c r="I466" s="55" t="str">
        <x:f>IF(OR(F466="",G466="",H466=""),"",F466&amp;" "&amp;UPPER(G466)&amp;"."&amp;LOWER(H466))</x:f>
      </x:c>
      <x:c r="J466" s="37"/>
      <x:c r="K466" s="37"/>
      <x:c r="L466" s="46"/>
      <x:c r="M466" s="43"/>
      <x:c r="N466" s="43"/>
      <x:c r="O466" s="43"/>
      <x:c r="P466" s="58" t="str">
        <x:f>IF(N466="","","Estantería "&amp;N466&amp;IF(O466="",""," - Balda "&amp;N466&amp;O466))</x:f>
      </x:c>
      <x:c r="Q466" s="37"/>
      <x:c r="R466" s="37"/>
      <x:c r="S466" s="49"/>
      <x:c r="T466" s="37"/>
      <x:c r="U466" s="37"/>
      <x:c r="V466" s="37"/>
      <x:c r="W466" s="34"/>
      <x:c r="X466" s="52"/>
      <x:c r="Y466" s="61" t="str">
        <x:f>IF(A466="","",IF(COUNTIF($A$6:$A$605,A466)&gt;1,"DUPLICADO","OK"))</x:f>
      </x:c>
      <x:c r="Z466" s="61" t="str">
        <x:f>IF(A466="","",IF(C466="","FALTA TÍTULO",IF(E466="","FALTA ÁREA",IF(W466&lt;&gt;"Sí","PENDIENTE","LISTO"))))</x:f>
      </x:c>
    </x:row>
    <x:row r="467">
      <x:c r="A467" s="40"/>
      <x:c r="B467" s="40"/>
      <x:c r="C467" s="37"/>
      <x:c r="D467" s="37"/>
      <x:c r="E467" s="37"/>
      <x:c r="F467" s="43"/>
      <x:c r="G467" s="43"/>
      <x:c r="H467" s="43"/>
      <x:c r="I467" s="55" t="str">
        <x:f>IF(OR(F467="",G467="",H467=""),"",F467&amp;" "&amp;UPPER(G467)&amp;"."&amp;LOWER(H467))</x:f>
      </x:c>
      <x:c r="J467" s="37"/>
      <x:c r="K467" s="37"/>
      <x:c r="L467" s="46"/>
      <x:c r="M467" s="43"/>
      <x:c r="N467" s="43"/>
      <x:c r="O467" s="43"/>
      <x:c r="P467" s="58" t="str">
        <x:f>IF(N467="","","Estantería "&amp;N467&amp;IF(O467="",""," - Balda "&amp;N467&amp;O467))</x:f>
      </x:c>
      <x:c r="Q467" s="37"/>
      <x:c r="R467" s="37"/>
      <x:c r="S467" s="49"/>
      <x:c r="T467" s="37"/>
      <x:c r="U467" s="37"/>
      <x:c r="V467" s="37"/>
      <x:c r="W467" s="34"/>
      <x:c r="X467" s="52"/>
      <x:c r="Y467" s="61" t="str">
        <x:f>IF(A467="","",IF(COUNTIF($A$6:$A$605,A467)&gt;1,"DUPLICADO","OK"))</x:f>
      </x:c>
      <x:c r="Z467" s="61" t="str">
        <x:f>IF(A467="","",IF(C467="","FALTA TÍTULO",IF(E467="","FALTA ÁREA",IF(W467&lt;&gt;"Sí","PENDIENTE","LISTO"))))</x:f>
      </x:c>
    </x:row>
    <x:row r="468">
      <x:c r="A468" s="40"/>
      <x:c r="B468" s="40"/>
      <x:c r="C468" s="37"/>
      <x:c r="D468" s="37"/>
      <x:c r="E468" s="37"/>
      <x:c r="F468" s="43"/>
      <x:c r="G468" s="43"/>
      <x:c r="H468" s="43"/>
      <x:c r="I468" s="55" t="str">
        <x:f>IF(OR(F468="",G468="",H468=""),"",F468&amp;" "&amp;UPPER(G468)&amp;"."&amp;LOWER(H468))</x:f>
      </x:c>
      <x:c r="J468" s="37"/>
      <x:c r="K468" s="37"/>
      <x:c r="L468" s="46"/>
      <x:c r="M468" s="43"/>
      <x:c r="N468" s="43"/>
      <x:c r="O468" s="43"/>
      <x:c r="P468" s="58" t="str">
        <x:f>IF(N468="","","Estantería "&amp;N468&amp;IF(O468="",""," - Balda "&amp;N468&amp;O468))</x:f>
      </x:c>
      <x:c r="Q468" s="37"/>
      <x:c r="R468" s="37"/>
      <x:c r="S468" s="49"/>
      <x:c r="T468" s="37"/>
      <x:c r="U468" s="37"/>
      <x:c r="V468" s="37"/>
      <x:c r="W468" s="34"/>
      <x:c r="X468" s="52"/>
      <x:c r="Y468" s="61" t="str">
        <x:f>IF(A468="","",IF(COUNTIF($A$6:$A$605,A468)&gt;1,"DUPLICADO","OK"))</x:f>
      </x:c>
      <x:c r="Z468" s="61" t="str">
        <x:f>IF(A468="","",IF(C468="","FALTA TÍTULO",IF(E468="","FALTA ÁREA",IF(W468&lt;&gt;"Sí","PENDIENTE","LISTO"))))</x:f>
      </x:c>
    </x:row>
    <x:row r="469">
      <x:c r="A469" s="40"/>
      <x:c r="B469" s="40"/>
      <x:c r="C469" s="37"/>
      <x:c r="D469" s="37"/>
      <x:c r="E469" s="37"/>
      <x:c r="F469" s="43"/>
      <x:c r="G469" s="43"/>
      <x:c r="H469" s="43"/>
      <x:c r="I469" s="55" t="str">
        <x:f>IF(OR(F469="",G469="",H469=""),"",F469&amp;" "&amp;UPPER(G469)&amp;"."&amp;LOWER(H469))</x:f>
      </x:c>
      <x:c r="J469" s="37"/>
      <x:c r="K469" s="37"/>
      <x:c r="L469" s="46"/>
      <x:c r="M469" s="43"/>
      <x:c r="N469" s="43"/>
      <x:c r="O469" s="43"/>
      <x:c r="P469" s="58" t="str">
        <x:f>IF(N469="","","Estantería "&amp;N469&amp;IF(O469="",""," - Balda "&amp;N469&amp;O469))</x:f>
      </x:c>
      <x:c r="Q469" s="37"/>
      <x:c r="R469" s="37"/>
      <x:c r="S469" s="49"/>
      <x:c r="T469" s="37"/>
      <x:c r="U469" s="37"/>
      <x:c r="V469" s="37"/>
      <x:c r="W469" s="34"/>
      <x:c r="X469" s="52"/>
      <x:c r="Y469" s="61" t="str">
        <x:f>IF(A469="","",IF(COUNTIF($A$6:$A$605,A469)&gt;1,"DUPLICADO","OK"))</x:f>
      </x:c>
      <x:c r="Z469" s="61" t="str">
        <x:f>IF(A469="","",IF(C469="","FALTA TÍTULO",IF(E469="","FALTA ÁREA",IF(W469&lt;&gt;"Sí","PENDIENTE","LISTO"))))</x:f>
      </x:c>
    </x:row>
    <x:row r="470">
      <x:c r="A470" s="40"/>
      <x:c r="B470" s="40"/>
      <x:c r="C470" s="37"/>
      <x:c r="D470" s="37"/>
      <x:c r="E470" s="37"/>
      <x:c r="F470" s="43"/>
      <x:c r="G470" s="43"/>
      <x:c r="H470" s="43"/>
      <x:c r="I470" s="55" t="str">
        <x:f>IF(OR(F470="",G470="",H470=""),"",F470&amp;" "&amp;UPPER(G470)&amp;"."&amp;LOWER(H470))</x:f>
      </x:c>
      <x:c r="J470" s="37"/>
      <x:c r="K470" s="37"/>
      <x:c r="L470" s="46"/>
      <x:c r="M470" s="43"/>
      <x:c r="N470" s="43"/>
      <x:c r="O470" s="43"/>
      <x:c r="P470" s="58" t="str">
        <x:f>IF(N470="","","Estantería "&amp;N470&amp;IF(O470="",""," - Balda "&amp;N470&amp;O470))</x:f>
      </x:c>
      <x:c r="Q470" s="37"/>
      <x:c r="R470" s="37"/>
      <x:c r="S470" s="49"/>
      <x:c r="T470" s="37"/>
      <x:c r="U470" s="37"/>
      <x:c r="V470" s="37"/>
      <x:c r="W470" s="34"/>
      <x:c r="X470" s="52"/>
      <x:c r="Y470" s="61" t="str">
        <x:f>IF(A470="","",IF(COUNTIF($A$6:$A$605,A470)&gt;1,"DUPLICADO","OK"))</x:f>
      </x:c>
      <x:c r="Z470" s="61" t="str">
        <x:f>IF(A470="","",IF(C470="","FALTA TÍTULO",IF(E470="","FALTA ÁREA",IF(W470&lt;&gt;"Sí","PENDIENTE","LISTO"))))</x:f>
      </x:c>
    </x:row>
    <x:row r="471">
      <x:c r="A471" s="40"/>
      <x:c r="B471" s="40"/>
      <x:c r="C471" s="37"/>
      <x:c r="D471" s="37"/>
      <x:c r="E471" s="37"/>
      <x:c r="F471" s="43"/>
      <x:c r="G471" s="43"/>
      <x:c r="H471" s="43"/>
      <x:c r="I471" s="55" t="str">
        <x:f>IF(OR(F471="",G471="",H471=""),"",F471&amp;" "&amp;UPPER(G471)&amp;"."&amp;LOWER(H471))</x:f>
      </x:c>
      <x:c r="J471" s="37"/>
      <x:c r="K471" s="37"/>
      <x:c r="L471" s="46"/>
      <x:c r="M471" s="43"/>
      <x:c r="N471" s="43"/>
      <x:c r="O471" s="43"/>
      <x:c r="P471" s="58" t="str">
        <x:f>IF(N471="","","Estantería "&amp;N471&amp;IF(O471="",""," - Balda "&amp;N471&amp;O471))</x:f>
      </x:c>
      <x:c r="Q471" s="37"/>
      <x:c r="R471" s="37"/>
      <x:c r="S471" s="49"/>
      <x:c r="T471" s="37"/>
      <x:c r="U471" s="37"/>
      <x:c r="V471" s="37"/>
      <x:c r="W471" s="34"/>
      <x:c r="X471" s="52"/>
      <x:c r="Y471" s="61" t="str">
        <x:f>IF(A471="","",IF(COUNTIF($A$6:$A$605,A471)&gt;1,"DUPLICADO","OK"))</x:f>
      </x:c>
      <x:c r="Z471" s="61" t="str">
        <x:f>IF(A471="","",IF(C471="","FALTA TÍTULO",IF(E471="","FALTA ÁREA",IF(W471&lt;&gt;"Sí","PENDIENTE","LISTO"))))</x:f>
      </x:c>
    </x:row>
    <x:row r="472">
      <x:c r="A472" s="40"/>
      <x:c r="B472" s="40"/>
      <x:c r="C472" s="37"/>
      <x:c r="D472" s="37"/>
      <x:c r="E472" s="37"/>
      <x:c r="F472" s="43"/>
      <x:c r="G472" s="43"/>
      <x:c r="H472" s="43"/>
      <x:c r="I472" s="55" t="str">
        <x:f>IF(OR(F472="",G472="",H472=""),"",F472&amp;" "&amp;UPPER(G472)&amp;"."&amp;LOWER(H472))</x:f>
      </x:c>
      <x:c r="J472" s="37"/>
      <x:c r="K472" s="37"/>
      <x:c r="L472" s="46"/>
      <x:c r="M472" s="43"/>
      <x:c r="N472" s="43"/>
      <x:c r="O472" s="43"/>
      <x:c r="P472" s="58" t="str">
        <x:f>IF(N472="","","Estantería "&amp;N472&amp;IF(O472="",""," - Balda "&amp;N472&amp;O472))</x:f>
      </x:c>
      <x:c r="Q472" s="37"/>
      <x:c r="R472" s="37"/>
      <x:c r="S472" s="49"/>
      <x:c r="T472" s="37"/>
      <x:c r="U472" s="37"/>
      <x:c r="V472" s="37"/>
      <x:c r="W472" s="34"/>
      <x:c r="X472" s="52"/>
      <x:c r="Y472" s="61" t="str">
        <x:f>IF(A472="","",IF(COUNTIF($A$6:$A$605,A472)&gt;1,"DUPLICADO","OK"))</x:f>
      </x:c>
      <x:c r="Z472" s="61" t="str">
        <x:f>IF(A472="","",IF(C472="","FALTA TÍTULO",IF(E472="","FALTA ÁREA",IF(W472&lt;&gt;"Sí","PENDIENTE","LISTO"))))</x:f>
      </x:c>
    </x:row>
    <x:row r="473">
      <x:c r="A473" s="40"/>
      <x:c r="B473" s="40"/>
      <x:c r="C473" s="37"/>
      <x:c r="D473" s="37"/>
      <x:c r="E473" s="37"/>
      <x:c r="F473" s="43"/>
      <x:c r="G473" s="43"/>
      <x:c r="H473" s="43"/>
      <x:c r="I473" s="55" t="str">
        <x:f>IF(OR(F473="",G473="",H473=""),"",F473&amp;" "&amp;UPPER(G473)&amp;"."&amp;LOWER(H473))</x:f>
      </x:c>
      <x:c r="J473" s="37"/>
      <x:c r="K473" s="37"/>
      <x:c r="L473" s="46"/>
      <x:c r="M473" s="43"/>
      <x:c r="N473" s="43"/>
      <x:c r="O473" s="43"/>
      <x:c r="P473" s="58" t="str">
        <x:f>IF(N473="","","Estantería "&amp;N473&amp;IF(O473="",""," - Balda "&amp;N473&amp;O473))</x:f>
      </x:c>
      <x:c r="Q473" s="37"/>
      <x:c r="R473" s="37"/>
      <x:c r="S473" s="49"/>
      <x:c r="T473" s="37"/>
      <x:c r="U473" s="37"/>
      <x:c r="V473" s="37"/>
      <x:c r="W473" s="34"/>
      <x:c r="X473" s="52"/>
      <x:c r="Y473" s="61" t="str">
        <x:f>IF(A473="","",IF(COUNTIF($A$6:$A$605,A473)&gt;1,"DUPLICADO","OK"))</x:f>
      </x:c>
      <x:c r="Z473" s="61" t="str">
        <x:f>IF(A473="","",IF(C473="","FALTA TÍTULO",IF(E473="","FALTA ÁREA",IF(W473&lt;&gt;"Sí","PENDIENTE","LISTO"))))</x:f>
      </x:c>
    </x:row>
    <x:row r="474">
      <x:c r="A474" s="40"/>
      <x:c r="B474" s="40"/>
      <x:c r="C474" s="37"/>
      <x:c r="D474" s="37"/>
      <x:c r="E474" s="37"/>
      <x:c r="F474" s="43"/>
      <x:c r="G474" s="43"/>
      <x:c r="H474" s="43"/>
      <x:c r="I474" s="55" t="str">
        <x:f>IF(OR(F474="",G474="",H474=""),"",F474&amp;" "&amp;UPPER(G474)&amp;"."&amp;LOWER(H474))</x:f>
      </x:c>
      <x:c r="J474" s="37"/>
      <x:c r="K474" s="37"/>
      <x:c r="L474" s="46"/>
      <x:c r="M474" s="43"/>
      <x:c r="N474" s="43"/>
      <x:c r="O474" s="43"/>
      <x:c r="P474" s="58" t="str">
        <x:f>IF(N474="","","Estantería "&amp;N474&amp;IF(O474="",""," - Balda "&amp;N474&amp;O474))</x:f>
      </x:c>
      <x:c r="Q474" s="37"/>
      <x:c r="R474" s="37"/>
      <x:c r="S474" s="49"/>
      <x:c r="T474" s="37"/>
      <x:c r="U474" s="37"/>
      <x:c r="V474" s="37"/>
      <x:c r="W474" s="34"/>
      <x:c r="X474" s="52"/>
      <x:c r="Y474" s="61" t="str">
        <x:f>IF(A474="","",IF(COUNTIF($A$6:$A$605,A474)&gt;1,"DUPLICADO","OK"))</x:f>
      </x:c>
      <x:c r="Z474" s="61" t="str">
        <x:f>IF(A474="","",IF(C474="","FALTA TÍTULO",IF(E474="","FALTA ÁREA",IF(W474&lt;&gt;"Sí","PENDIENTE","LISTO"))))</x:f>
      </x:c>
    </x:row>
    <x:row r="475">
      <x:c r="A475" s="40"/>
      <x:c r="B475" s="40"/>
      <x:c r="C475" s="37"/>
      <x:c r="D475" s="37"/>
      <x:c r="E475" s="37"/>
      <x:c r="F475" s="43"/>
      <x:c r="G475" s="43"/>
      <x:c r="H475" s="43"/>
      <x:c r="I475" s="55" t="str">
        <x:f>IF(OR(F475="",G475="",H475=""),"",F475&amp;" "&amp;UPPER(G475)&amp;"."&amp;LOWER(H475))</x:f>
      </x:c>
      <x:c r="J475" s="37"/>
      <x:c r="K475" s="37"/>
      <x:c r="L475" s="46"/>
      <x:c r="M475" s="43"/>
      <x:c r="N475" s="43"/>
      <x:c r="O475" s="43"/>
      <x:c r="P475" s="58" t="str">
        <x:f>IF(N475="","","Estantería "&amp;N475&amp;IF(O475="",""," - Balda "&amp;N475&amp;O475))</x:f>
      </x:c>
      <x:c r="Q475" s="37"/>
      <x:c r="R475" s="37"/>
      <x:c r="S475" s="49"/>
      <x:c r="T475" s="37"/>
      <x:c r="U475" s="37"/>
      <x:c r="V475" s="37"/>
      <x:c r="W475" s="34"/>
      <x:c r="X475" s="52"/>
      <x:c r="Y475" s="61" t="str">
        <x:f>IF(A475="","",IF(COUNTIF($A$6:$A$605,A475)&gt;1,"DUPLICADO","OK"))</x:f>
      </x:c>
      <x:c r="Z475" s="61" t="str">
        <x:f>IF(A475="","",IF(C475="","FALTA TÍTULO",IF(E475="","FALTA ÁREA",IF(W475&lt;&gt;"Sí","PENDIENTE","LISTO"))))</x:f>
      </x:c>
    </x:row>
    <x:row r="476">
      <x:c r="A476" s="40"/>
      <x:c r="B476" s="40"/>
      <x:c r="C476" s="37"/>
      <x:c r="D476" s="37"/>
      <x:c r="E476" s="37"/>
      <x:c r="F476" s="43"/>
      <x:c r="G476" s="43"/>
      <x:c r="H476" s="43"/>
      <x:c r="I476" s="55" t="str">
        <x:f>IF(OR(F476="",G476="",H476=""),"",F476&amp;" "&amp;UPPER(G476)&amp;"."&amp;LOWER(H476))</x:f>
      </x:c>
      <x:c r="J476" s="37"/>
      <x:c r="K476" s="37"/>
      <x:c r="L476" s="46"/>
      <x:c r="M476" s="43"/>
      <x:c r="N476" s="43"/>
      <x:c r="O476" s="43"/>
      <x:c r="P476" s="58" t="str">
        <x:f>IF(N476="","","Estantería "&amp;N476&amp;IF(O476="",""," - Balda "&amp;N476&amp;O476))</x:f>
      </x:c>
      <x:c r="Q476" s="37"/>
      <x:c r="R476" s="37"/>
      <x:c r="S476" s="49"/>
      <x:c r="T476" s="37"/>
      <x:c r="U476" s="37"/>
      <x:c r="V476" s="37"/>
      <x:c r="W476" s="34"/>
      <x:c r="X476" s="52"/>
      <x:c r="Y476" s="61" t="str">
        <x:f>IF(A476="","",IF(COUNTIF($A$6:$A$605,A476)&gt;1,"DUPLICADO","OK"))</x:f>
      </x:c>
      <x:c r="Z476" s="61" t="str">
        <x:f>IF(A476="","",IF(C476="","FALTA TÍTULO",IF(E476="","FALTA ÁREA",IF(W476&lt;&gt;"Sí","PENDIENTE","LISTO"))))</x:f>
      </x:c>
    </x:row>
    <x:row r="477">
      <x:c r="A477" s="40"/>
      <x:c r="B477" s="40"/>
      <x:c r="C477" s="37"/>
      <x:c r="D477" s="37"/>
      <x:c r="E477" s="37"/>
      <x:c r="F477" s="43"/>
      <x:c r="G477" s="43"/>
      <x:c r="H477" s="43"/>
      <x:c r="I477" s="55" t="str">
        <x:f>IF(OR(F477="",G477="",H477=""),"",F477&amp;" "&amp;UPPER(G477)&amp;"."&amp;LOWER(H477))</x:f>
      </x:c>
      <x:c r="J477" s="37"/>
      <x:c r="K477" s="37"/>
      <x:c r="L477" s="46"/>
      <x:c r="M477" s="43"/>
      <x:c r="N477" s="43"/>
      <x:c r="O477" s="43"/>
      <x:c r="P477" s="58" t="str">
        <x:f>IF(N477="","","Estantería "&amp;N477&amp;IF(O477="",""," - Balda "&amp;N477&amp;O477))</x:f>
      </x:c>
      <x:c r="Q477" s="37"/>
      <x:c r="R477" s="37"/>
      <x:c r="S477" s="49"/>
      <x:c r="T477" s="37"/>
      <x:c r="U477" s="37"/>
      <x:c r="V477" s="37"/>
      <x:c r="W477" s="34"/>
      <x:c r="X477" s="52"/>
      <x:c r="Y477" s="61" t="str">
        <x:f>IF(A477="","",IF(COUNTIF($A$6:$A$605,A477)&gt;1,"DUPLICADO","OK"))</x:f>
      </x:c>
      <x:c r="Z477" s="61" t="str">
        <x:f>IF(A477="","",IF(C477="","FALTA TÍTULO",IF(E477="","FALTA ÁREA",IF(W477&lt;&gt;"Sí","PENDIENTE","LISTO"))))</x:f>
      </x:c>
    </x:row>
    <x:row r="478">
      <x:c r="A478" s="40"/>
      <x:c r="B478" s="40"/>
      <x:c r="C478" s="37"/>
      <x:c r="D478" s="37"/>
      <x:c r="E478" s="37"/>
      <x:c r="F478" s="43"/>
      <x:c r="G478" s="43"/>
      <x:c r="H478" s="43"/>
      <x:c r="I478" s="55" t="str">
        <x:f>IF(OR(F478="",G478="",H478=""),"",F478&amp;" "&amp;UPPER(G478)&amp;"."&amp;LOWER(H478))</x:f>
      </x:c>
      <x:c r="J478" s="37"/>
      <x:c r="K478" s="37"/>
      <x:c r="L478" s="46"/>
      <x:c r="M478" s="43"/>
      <x:c r="N478" s="43"/>
      <x:c r="O478" s="43"/>
      <x:c r="P478" s="58" t="str">
        <x:f>IF(N478="","","Estantería "&amp;N478&amp;IF(O478="",""," - Balda "&amp;N478&amp;O478))</x:f>
      </x:c>
      <x:c r="Q478" s="37"/>
      <x:c r="R478" s="37"/>
      <x:c r="S478" s="49"/>
      <x:c r="T478" s="37"/>
      <x:c r="U478" s="37"/>
      <x:c r="V478" s="37"/>
      <x:c r="W478" s="34"/>
      <x:c r="X478" s="52"/>
      <x:c r="Y478" s="61" t="str">
        <x:f>IF(A478="","",IF(COUNTIF($A$6:$A$605,A478)&gt;1,"DUPLICADO","OK"))</x:f>
      </x:c>
      <x:c r="Z478" s="61" t="str">
        <x:f>IF(A478="","",IF(C478="","FALTA TÍTULO",IF(E478="","FALTA ÁREA",IF(W478&lt;&gt;"Sí","PENDIENTE","LISTO"))))</x:f>
      </x:c>
    </x:row>
    <x:row r="479">
      <x:c r="A479" s="40"/>
      <x:c r="B479" s="40"/>
      <x:c r="C479" s="37"/>
      <x:c r="D479" s="37"/>
      <x:c r="E479" s="37"/>
      <x:c r="F479" s="43"/>
      <x:c r="G479" s="43"/>
      <x:c r="H479" s="43"/>
      <x:c r="I479" s="55" t="str">
        <x:f>IF(OR(F479="",G479="",H479=""),"",F479&amp;" "&amp;UPPER(G479)&amp;"."&amp;LOWER(H479))</x:f>
      </x:c>
      <x:c r="J479" s="37"/>
      <x:c r="K479" s="37"/>
      <x:c r="L479" s="46"/>
      <x:c r="M479" s="43"/>
      <x:c r="N479" s="43"/>
      <x:c r="O479" s="43"/>
      <x:c r="P479" s="58" t="str">
        <x:f>IF(N479="","","Estantería "&amp;N479&amp;IF(O479="",""," - Balda "&amp;N479&amp;O479))</x:f>
      </x:c>
      <x:c r="Q479" s="37"/>
      <x:c r="R479" s="37"/>
      <x:c r="S479" s="49"/>
      <x:c r="T479" s="37"/>
      <x:c r="U479" s="37"/>
      <x:c r="V479" s="37"/>
      <x:c r="W479" s="34"/>
      <x:c r="X479" s="52"/>
      <x:c r="Y479" s="61" t="str">
        <x:f>IF(A479="","",IF(COUNTIF($A$6:$A$605,A479)&gt;1,"DUPLICADO","OK"))</x:f>
      </x:c>
      <x:c r="Z479" s="61" t="str">
        <x:f>IF(A479="","",IF(C479="","FALTA TÍTULO",IF(E479="","FALTA ÁREA",IF(W479&lt;&gt;"Sí","PENDIENTE","LISTO"))))</x:f>
      </x:c>
    </x:row>
    <x:row r="480">
      <x:c r="A480" s="40"/>
      <x:c r="B480" s="40"/>
      <x:c r="C480" s="37"/>
      <x:c r="D480" s="37"/>
      <x:c r="E480" s="37"/>
      <x:c r="F480" s="43"/>
      <x:c r="G480" s="43"/>
      <x:c r="H480" s="43"/>
      <x:c r="I480" s="55" t="str">
        <x:f>IF(OR(F480="",G480="",H480=""),"",F480&amp;" "&amp;UPPER(G480)&amp;"."&amp;LOWER(H480))</x:f>
      </x:c>
      <x:c r="J480" s="37"/>
      <x:c r="K480" s="37"/>
      <x:c r="L480" s="46"/>
      <x:c r="M480" s="43"/>
      <x:c r="N480" s="43"/>
      <x:c r="O480" s="43"/>
      <x:c r="P480" s="58" t="str">
        <x:f>IF(N480="","","Estantería "&amp;N480&amp;IF(O480="",""," - Balda "&amp;N480&amp;O480))</x:f>
      </x:c>
      <x:c r="Q480" s="37"/>
      <x:c r="R480" s="37"/>
      <x:c r="S480" s="49"/>
      <x:c r="T480" s="37"/>
      <x:c r="U480" s="37"/>
      <x:c r="V480" s="37"/>
      <x:c r="W480" s="34"/>
      <x:c r="X480" s="52"/>
      <x:c r="Y480" s="61" t="str">
        <x:f>IF(A480="","",IF(COUNTIF($A$6:$A$605,A480)&gt;1,"DUPLICADO","OK"))</x:f>
      </x:c>
      <x:c r="Z480" s="61" t="str">
        <x:f>IF(A480="","",IF(C480="","FALTA TÍTULO",IF(E480="","FALTA ÁREA",IF(W480&lt;&gt;"Sí","PENDIENTE","LISTO"))))</x:f>
      </x:c>
    </x:row>
    <x:row r="481">
      <x:c r="A481" s="40"/>
      <x:c r="B481" s="40"/>
      <x:c r="C481" s="37"/>
      <x:c r="D481" s="37"/>
      <x:c r="E481" s="37"/>
      <x:c r="F481" s="43"/>
      <x:c r="G481" s="43"/>
      <x:c r="H481" s="43"/>
      <x:c r="I481" s="55" t="str">
        <x:f>IF(OR(F481="",G481="",H481=""),"",F481&amp;" "&amp;UPPER(G481)&amp;"."&amp;LOWER(H481))</x:f>
      </x:c>
      <x:c r="J481" s="37"/>
      <x:c r="K481" s="37"/>
      <x:c r="L481" s="46"/>
      <x:c r="M481" s="43"/>
      <x:c r="N481" s="43"/>
      <x:c r="O481" s="43"/>
      <x:c r="P481" s="58" t="str">
        <x:f>IF(N481="","","Estantería "&amp;N481&amp;IF(O481="",""," - Balda "&amp;N481&amp;O481))</x:f>
      </x:c>
      <x:c r="Q481" s="37"/>
      <x:c r="R481" s="37"/>
      <x:c r="S481" s="49"/>
      <x:c r="T481" s="37"/>
      <x:c r="U481" s="37"/>
      <x:c r="V481" s="37"/>
      <x:c r="W481" s="34"/>
      <x:c r="X481" s="52"/>
      <x:c r="Y481" s="61" t="str">
        <x:f>IF(A481="","",IF(COUNTIF($A$6:$A$605,A481)&gt;1,"DUPLICADO","OK"))</x:f>
      </x:c>
      <x:c r="Z481" s="61" t="str">
        <x:f>IF(A481="","",IF(C481="","FALTA TÍTULO",IF(E481="","FALTA ÁREA",IF(W481&lt;&gt;"Sí","PENDIENTE","LISTO"))))</x:f>
      </x:c>
    </x:row>
    <x:row r="482">
      <x:c r="A482" s="40"/>
      <x:c r="B482" s="40"/>
      <x:c r="C482" s="37"/>
      <x:c r="D482" s="37"/>
      <x:c r="E482" s="37"/>
      <x:c r="F482" s="43"/>
      <x:c r="G482" s="43"/>
      <x:c r="H482" s="43"/>
      <x:c r="I482" s="55" t="str">
        <x:f>IF(OR(F482="",G482="",H482=""),"",F482&amp;" "&amp;UPPER(G482)&amp;"."&amp;LOWER(H482))</x:f>
      </x:c>
      <x:c r="J482" s="37"/>
      <x:c r="K482" s="37"/>
      <x:c r="L482" s="46"/>
      <x:c r="M482" s="43"/>
      <x:c r="N482" s="43"/>
      <x:c r="O482" s="43"/>
      <x:c r="P482" s="58" t="str">
        <x:f>IF(N482="","","Estantería "&amp;N482&amp;IF(O482="",""," - Balda "&amp;N482&amp;O482))</x:f>
      </x:c>
      <x:c r="Q482" s="37"/>
      <x:c r="R482" s="37"/>
      <x:c r="S482" s="49"/>
      <x:c r="T482" s="37"/>
      <x:c r="U482" s="37"/>
      <x:c r="V482" s="37"/>
      <x:c r="W482" s="34"/>
      <x:c r="X482" s="52"/>
      <x:c r="Y482" s="61" t="str">
        <x:f>IF(A482="","",IF(COUNTIF($A$6:$A$605,A482)&gt;1,"DUPLICADO","OK"))</x:f>
      </x:c>
      <x:c r="Z482" s="61" t="str">
        <x:f>IF(A482="","",IF(C482="","FALTA TÍTULO",IF(E482="","FALTA ÁREA",IF(W482&lt;&gt;"Sí","PENDIENTE","LISTO"))))</x:f>
      </x:c>
    </x:row>
    <x:row r="483">
      <x:c r="A483" s="40"/>
      <x:c r="B483" s="40"/>
      <x:c r="C483" s="37"/>
      <x:c r="D483" s="37"/>
      <x:c r="E483" s="37"/>
      <x:c r="F483" s="43"/>
      <x:c r="G483" s="43"/>
      <x:c r="H483" s="43"/>
      <x:c r="I483" s="55" t="str">
        <x:f>IF(OR(F483="",G483="",H483=""),"",F483&amp;" "&amp;UPPER(G483)&amp;"."&amp;LOWER(H483))</x:f>
      </x:c>
      <x:c r="J483" s="37"/>
      <x:c r="K483" s="37"/>
      <x:c r="L483" s="46"/>
      <x:c r="M483" s="43"/>
      <x:c r="N483" s="43"/>
      <x:c r="O483" s="43"/>
      <x:c r="P483" s="58" t="str">
        <x:f>IF(N483="","","Estantería "&amp;N483&amp;IF(O483="",""," - Balda "&amp;N483&amp;O483))</x:f>
      </x:c>
      <x:c r="Q483" s="37"/>
      <x:c r="R483" s="37"/>
      <x:c r="S483" s="49"/>
      <x:c r="T483" s="37"/>
      <x:c r="U483" s="37"/>
      <x:c r="V483" s="37"/>
      <x:c r="W483" s="34"/>
      <x:c r="X483" s="52"/>
      <x:c r="Y483" s="61" t="str">
        <x:f>IF(A483="","",IF(COUNTIF($A$6:$A$605,A483)&gt;1,"DUPLICADO","OK"))</x:f>
      </x:c>
      <x:c r="Z483" s="61" t="str">
        <x:f>IF(A483="","",IF(C483="","FALTA TÍTULO",IF(E483="","FALTA ÁREA",IF(W483&lt;&gt;"Sí","PENDIENTE","LISTO"))))</x:f>
      </x:c>
    </x:row>
    <x:row r="484">
      <x:c r="A484" s="40"/>
      <x:c r="B484" s="40"/>
      <x:c r="C484" s="37"/>
      <x:c r="D484" s="37"/>
      <x:c r="E484" s="37"/>
      <x:c r="F484" s="43"/>
      <x:c r="G484" s="43"/>
      <x:c r="H484" s="43"/>
      <x:c r="I484" s="55" t="str">
        <x:f>IF(OR(F484="",G484="",H484=""),"",F484&amp;" "&amp;UPPER(G484)&amp;"."&amp;LOWER(H484))</x:f>
      </x:c>
      <x:c r="J484" s="37"/>
      <x:c r="K484" s="37"/>
      <x:c r="L484" s="46"/>
      <x:c r="M484" s="43"/>
      <x:c r="N484" s="43"/>
      <x:c r="O484" s="43"/>
      <x:c r="P484" s="58" t="str">
        <x:f>IF(N484="","","Estantería "&amp;N484&amp;IF(O484="",""," - Balda "&amp;N484&amp;O484))</x:f>
      </x:c>
      <x:c r="Q484" s="37"/>
      <x:c r="R484" s="37"/>
      <x:c r="S484" s="49"/>
      <x:c r="T484" s="37"/>
      <x:c r="U484" s="37"/>
      <x:c r="V484" s="37"/>
      <x:c r="W484" s="34"/>
      <x:c r="X484" s="52"/>
      <x:c r="Y484" s="61" t="str">
        <x:f>IF(A484="","",IF(COUNTIF($A$6:$A$605,A484)&gt;1,"DUPLICADO","OK"))</x:f>
      </x:c>
      <x:c r="Z484" s="61" t="str">
        <x:f>IF(A484="","",IF(C484="","FALTA TÍTULO",IF(E484="","FALTA ÁREA",IF(W484&lt;&gt;"Sí","PENDIENTE","LISTO"))))</x:f>
      </x:c>
    </x:row>
    <x:row r="485">
      <x:c r="A485" s="40"/>
      <x:c r="B485" s="40"/>
      <x:c r="C485" s="37"/>
      <x:c r="D485" s="37"/>
      <x:c r="E485" s="37"/>
      <x:c r="F485" s="43"/>
      <x:c r="G485" s="43"/>
      <x:c r="H485" s="43"/>
      <x:c r="I485" s="55" t="str">
        <x:f>IF(OR(F485="",G485="",H485=""),"",F485&amp;" "&amp;UPPER(G485)&amp;"."&amp;LOWER(H485))</x:f>
      </x:c>
      <x:c r="J485" s="37"/>
      <x:c r="K485" s="37"/>
      <x:c r="L485" s="46"/>
      <x:c r="M485" s="43"/>
      <x:c r="N485" s="43"/>
      <x:c r="O485" s="43"/>
      <x:c r="P485" s="58" t="str">
        <x:f>IF(N485="","","Estantería "&amp;N485&amp;IF(O485="",""," - Balda "&amp;N485&amp;O485))</x:f>
      </x:c>
      <x:c r="Q485" s="37"/>
      <x:c r="R485" s="37"/>
      <x:c r="S485" s="49"/>
      <x:c r="T485" s="37"/>
      <x:c r="U485" s="37"/>
      <x:c r="V485" s="37"/>
      <x:c r="W485" s="34"/>
      <x:c r="X485" s="52"/>
      <x:c r="Y485" s="61" t="str">
        <x:f>IF(A485="","",IF(COUNTIF($A$6:$A$605,A485)&gt;1,"DUPLICADO","OK"))</x:f>
      </x:c>
      <x:c r="Z485" s="61" t="str">
        <x:f>IF(A485="","",IF(C485="","FALTA TÍTULO",IF(E485="","FALTA ÁREA",IF(W485&lt;&gt;"Sí","PENDIENTE","LISTO"))))</x:f>
      </x:c>
    </x:row>
    <x:row r="486">
      <x:c r="A486" s="40"/>
      <x:c r="B486" s="40"/>
      <x:c r="C486" s="37"/>
      <x:c r="D486" s="37"/>
      <x:c r="E486" s="37"/>
      <x:c r="F486" s="43"/>
      <x:c r="G486" s="43"/>
      <x:c r="H486" s="43"/>
      <x:c r="I486" s="55" t="str">
        <x:f>IF(OR(F486="",G486="",H486=""),"",F486&amp;" "&amp;UPPER(G486)&amp;"."&amp;LOWER(H486))</x:f>
      </x:c>
      <x:c r="J486" s="37"/>
      <x:c r="K486" s="37"/>
      <x:c r="L486" s="46"/>
      <x:c r="M486" s="43"/>
      <x:c r="N486" s="43"/>
      <x:c r="O486" s="43"/>
      <x:c r="P486" s="58" t="str">
        <x:f>IF(N486="","","Estantería "&amp;N486&amp;IF(O486="",""," - Balda "&amp;N486&amp;O486))</x:f>
      </x:c>
      <x:c r="Q486" s="37"/>
      <x:c r="R486" s="37"/>
      <x:c r="S486" s="49"/>
      <x:c r="T486" s="37"/>
      <x:c r="U486" s="37"/>
      <x:c r="V486" s="37"/>
      <x:c r="W486" s="34"/>
      <x:c r="X486" s="52"/>
      <x:c r="Y486" s="61" t="str">
        <x:f>IF(A486="","",IF(COUNTIF($A$6:$A$605,A486)&gt;1,"DUPLICADO","OK"))</x:f>
      </x:c>
      <x:c r="Z486" s="61" t="str">
        <x:f>IF(A486="","",IF(C486="","FALTA TÍTULO",IF(E486="","FALTA ÁREA",IF(W486&lt;&gt;"Sí","PENDIENTE","LISTO"))))</x:f>
      </x:c>
    </x:row>
    <x:row r="487">
      <x:c r="A487" s="40"/>
      <x:c r="B487" s="40"/>
      <x:c r="C487" s="37"/>
      <x:c r="D487" s="37"/>
      <x:c r="E487" s="37"/>
      <x:c r="F487" s="43"/>
      <x:c r="G487" s="43"/>
      <x:c r="H487" s="43"/>
      <x:c r="I487" s="55" t="str">
        <x:f>IF(OR(F487="",G487="",H487=""),"",F487&amp;" "&amp;UPPER(G487)&amp;"."&amp;LOWER(H487))</x:f>
      </x:c>
      <x:c r="J487" s="37"/>
      <x:c r="K487" s="37"/>
      <x:c r="L487" s="46"/>
      <x:c r="M487" s="43"/>
      <x:c r="N487" s="43"/>
      <x:c r="O487" s="43"/>
      <x:c r="P487" s="58" t="str">
        <x:f>IF(N487="","","Estantería "&amp;N487&amp;IF(O487="",""," - Balda "&amp;N487&amp;O487))</x:f>
      </x:c>
      <x:c r="Q487" s="37"/>
      <x:c r="R487" s="37"/>
      <x:c r="S487" s="49"/>
      <x:c r="T487" s="37"/>
      <x:c r="U487" s="37"/>
      <x:c r="V487" s="37"/>
      <x:c r="W487" s="34"/>
      <x:c r="X487" s="52"/>
      <x:c r="Y487" s="61" t="str">
        <x:f>IF(A487="","",IF(COUNTIF($A$6:$A$605,A487)&gt;1,"DUPLICADO","OK"))</x:f>
      </x:c>
      <x:c r="Z487" s="61" t="str">
        <x:f>IF(A487="","",IF(C487="","FALTA TÍTULO",IF(E487="","FALTA ÁREA",IF(W487&lt;&gt;"Sí","PENDIENTE","LISTO"))))</x:f>
      </x:c>
    </x:row>
    <x:row r="488">
      <x:c r="A488" s="40"/>
      <x:c r="B488" s="40"/>
      <x:c r="C488" s="37"/>
      <x:c r="D488" s="37"/>
      <x:c r="E488" s="37"/>
      <x:c r="F488" s="43"/>
      <x:c r="G488" s="43"/>
      <x:c r="H488" s="43"/>
      <x:c r="I488" s="55" t="str">
        <x:f>IF(OR(F488="",G488="",H488=""),"",F488&amp;" "&amp;UPPER(G488)&amp;"."&amp;LOWER(H488))</x:f>
      </x:c>
      <x:c r="J488" s="37"/>
      <x:c r="K488" s="37"/>
      <x:c r="L488" s="46"/>
      <x:c r="M488" s="43"/>
      <x:c r="N488" s="43"/>
      <x:c r="O488" s="43"/>
      <x:c r="P488" s="58" t="str">
        <x:f>IF(N488="","","Estantería "&amp;N488&amp;IF(O488="",""," - Balda "&amp;N488&amp;O488))</x:f>
      </x:c>
      <x:c r="Q488" s="37"/>
      <x:c r="R488" s="37"/>
      <x:c r="S488" s="49"/>
      <x:c r="T488" s="37"/>
      <x:c r="U488" s="37"/>
      <x:c r="V488" s="37"/>
      <x:c r="W488" s="34"/>
      <x:c r="X488" s="52"/>
      <x:c r="Y488" s="61" t="str">
        <x:f>IF(A488="","",IF(COUNTIF($A$6:$A$605,A488)&gt;1,"DUPLICADO","OK"))</x:f>
      </x:c>
      <x:c r="Z488" s="61" t="str">
        <x:f>IF(A488="","",IF(C488="","FALTA TÍTULO",IF(E488="","FALTA ÁREA",IF(W488&lt;&gt;"Sí","PENDIENTE","LISTO"))))</x:f>
      </x:c>
    </x:row>
    <x:row r="489">
      <x:c r="A489" s="40"/>
      <x:c r="B489" s="40"/>
      <x:c r="C489" s="37"/>
      <x:c r="D489" s="37"/>
      <x:c r="E489" s="37"/>
      <x:c r="F489" s="43"/>
      <x:c r="G489" s="43"/>
      <x:c r="H489" s="43"/>
      <x:c r="I489" s="55" t="str">
        <x:f>IF(OR(F489="",G489="",H489=""),"",F489&amp;" "&amp;UPPER(G489)&amp;"."&amp;LOWER(H489))</x:f>
      </x:c>
      <x:c r="J489" s="37"/>
      <x:c r="K489" s="37"/>
      <x:c r="L489" s="46"/>
      <x:c r="M489" s="43"/>
      <x:c r="N489" s="43"/>
      <x:c r="O489" s="43"/>
      <x:c r="P489" s="58" t="str">
        <x:f>IF(N489="","","Estantería "&amp;N489&amp;IF(O489="",""," - Balda "&amp;N489&amp;O489))</x:f>
      </x:c>
      <x:c r="Q489" s="37"/>
      <x:c r="R489" s="37"/>
      <x:c r="S489" s="49"/>
      <x:c r="T489" s="37"/>
      <x:c r="U489" s="37"/>
      <x:c r="V489" s="37"/>
      <x:c r="W489" s="34"/>
      <x:c r="X489" s="52"/>
      <x:c r="Y489" s="61" t="str">
        <x:f>IF(A489="","",IF(COUNTIF($A$6:$A$605,A489)&gt;1,"DUPLICADO","OK"))</x:f>
      </x:c>
      <x:c r="Z489" s="61" t="str">
        <x:f>IF(A489="","",IF(C489="","FALTA TÍTULO",IF(E489="","FALTA ÁREA",IF(W489&lt;&gt;"Sí","PENDIENTE","LISTO"))))</x:f>
      </x:c>
    </x:row>
    <x:row r="490">
      <x:c r="A490" s="40"/>
      <x:c r="B490" s="40"/>
      <x:c r="C490" s="37"/>
      <x:c r="D490" s="37"/>
      <x:c r="E490" s="37"/>
      <x:c r="F490" s="43"/>
      <x:c r="G490" s="43"/>
      <x:c r="H490" s="43"/>
      <x:c r="I490" s="55" t="str">
        <x:f>IF(OR(F490="",G490="",H490=""),"",F490&amp;" "&amp;UPPER(G490)&amp;"."&amp;LOWER(H490))</x:f>
      </x:c>
      <x:c r="J490" s="37"/>
      <x:c r="K490" s="37"/>
      <x:c r="L490" s="46"/>
      <x:c r="M490" s="43"/>
      <x:c r="N490" s="43"/>
      <x:c r="O490" s="43"/>
      <x:c r="P490" s="58" t="str">
        <x:f>IF(N490="","","Estantería "&amp;N490&amp;IF(O490="",""," - Balda "&amp;N490&amp;O490))</x:f>
      </x:c>
      <x:c r="Q490" s="37"/>
      <x:c r="R490" s="37"/>
      <x:c r="S490" s="49"/>
      <x:c r="T490" s="37"/>
      <x:c r="U490" s="37"/>
      <x:c r="V490" s="37"/>
      <x:c r="W490" s="34"/>
      <x:c r="X490" s="52"/>
      <x:c r="Y490" s="61" t="str">
        <x:f>IF(A490="","",IF(COUNTIF($A$6:$A$605,A490)&gt;1,"DUPLICADO","OK"))</x:f>
      </x:c>
      <x:c r="Z490" s="61" t="str">
        <x:f>IF(A490="","",IF(C490="","FALTA TÍTULO",IF(E490="","FALTA ÁREA",IF(W490&lt;&gt;"Sí","PENDIENTE","LISTO"))))</x:f>
      </x:c>
    </x:row>
    <x:row r="491">
      <x:c r="A491" s="40"/>
      <x:c r="B491" s="40"/>
      <x:c r="C491" s="37"/>
      <x:c r="D491" s="37"/>
      <x:c r="E491" s="37"/>
      <x:c r="F491" s="43"/>
      <x:c r="G491" s="43"/>
      <x:c r="H491" s="43"/>
      <x:c r="I491" s="55" t="str">
        <x:f>IF(OR(F491="",G491="",H491=""),"",F491&amp;" "&amp;UPPER(G491)&amp;"."&amp;LOWER(H491))</x:f>
      </x:c>
      <x:c r="J491" s="37"/>
      <x:c r="K491" s="37"/>
      <x:c r="L491" s="46"/>
      <x:c r="M491" s="43"/>
      <x:c r="N491" s="43"/>
      <x:c r="O491" s="43"/>
      <x:c r="P491" s="58" t="str">
        <x:f>IF(N491="","","Estantería "&amp;N491&amp;IF(O491="",""," - Balda "&amp;N491&amp;O491))</x:f>
      </x:c>
      <x:c r="Q491" s="37"/>
      <x:c r="R491" s="37"/>
      <x:c r="S491" s="49"/>
      <x:c r="T491" s="37"/>
      <x:c r="U491" s="37"/>
      <x:c r="V491" s="37"/>
      <x:c r="W491" s="34"/>
      <x:c r="X491" s="52"/>
      <x:c r="Y491" s="61" t="str">
        <x:f>IF(A491="","",IF(COUNTIF($A$6:$A$605,A491)&gt;1,"DUPLICADO","OK"))</x:f>
      </x:c>
      <x:c r="Z491" s="61" t="str">
        <x:f>IF(A491="","",IF(C491="","FALTA TÍTULO",IF(E491="","FALTA ÁREA",IF(W491&lt;&gt;"Sí","PENDIENTE","LISTO"))))</x:f>
      </x:c>
    </x:row>
    <x:row r="492">
      <x:c r="A492" s="40"/>
      <x:c r="B492" s="40"/>
      <x:c r="C492" s="37"/>
      <x:c r="D492" s="37"/>
      <x:c r="E492" s="37"/>
      <x:c r="F492" s="43"/>
      <x:c r="G492" s="43"/>
      <x:c r="H492" s="43"/>
      <x:c r="I492" s="55" t="str">
        <x:f>IF(OR(F492="",G492="",H492=""),"",F492&amp;" "&amp;UPPER(G492)&amp;"."&amp;LOWER(H492))</x:f>
      </x:c>
      <x:c r="J492" s="37"/>
      <x:c r="K492" s="37"/>
      <x:c r="L492" s="46"/>
      <x:c r="M492" s="43"/>
      <x:c r="N492" s="43"/>
      <x:c r="O492" s="43"/>
      <x:c r="P492" s="58" t="str">
        <x:f>IF(N492="","","Estantería "&amp;N492&amp;IF(O492="",""," - Balda "&amp;N492&amp;O492))</x:f>
      </x:c>
      <x:c r="Q492" s="37"/>
      <x:c r="R492" s="37"/>
      <x:c r="S492" s="49"/>
      <x:c r="T492" s="37"/>
      <x:c r="U492" s="37"/>
      <x:c r="V492" s="37"/>
      <x:c r="W492" s="34"/>
      <x:c r="X492" s="52"/>
      <x:c r="Y492" s="61" t="str">
        <x:f>IF(A492="","",IF(COUNTIF($A$6:$A$605,A492)&gt;1,"DUPLICADO","OK"))</x:f>
      </x:c>
      <x:c r="Z492" s="61" t="str">
        <x:f>IF(A492="","",IF(C492="","FALTA TÍTULO",IF(E492="","FALTA ÁREA",IF(W492&lt;&gt;"Sí","PENDIENTE","LISTO"))))</x:f>
      </x:c>
    </x:row>
    <x:row r="493">
      <x:c r="A493" s="40"/>
      <x:c r="B493" s="40"/>
      <x:c r="C493" s="37"/>
      <x:c r="D493" s="37"/>
      <x:c r="E493" s="37"/>
      <x:c r="F493" s="43"/>
      <x:c r="G493" s="43"/>
      <x:c r="H493" s="43"/>
      <x:c r="I493" s="55" t="str">
        <x:f>IF(OR(F493="",G493="",H493=""),"",F493&amp;" "&amp;UPPER(G493)&amp;"."&amp;LOWER(H493))</x:f>
      </x:c>
      <x:c r="J493" s="37"/>
      <x:c r="K493" s="37"/>
      <x:c r="L493" s="46"/>
      <x:c r="M493" s="43"/>
      <x:c r="N493" s="43"/>
      <x:c r="O493" s="43"/>
      <x:c r="P493" s="58" t="str">
        <x:f>IF(N493="","","Estantería "&amp;N493&amp;IF(O493="",""," - Balda "&amp;N493&amp;O493))</x:f>
      </x:c>
      <x:c r="Q493" s="37"/>
      <x:c r="R493" s="37"/>
      <x:c r="S493" s="49"/>
      <x:c r="T493" s="37"/>
      <x:c r="U493" s="37"/>
      <x:c r="V493" s="37"/>
      <x:c r="W493" s="34"/>
      <x:c r="X493" s="52"/>
      <x:c r="Y493" s="61" t="str">
        <x:f>IF(A493="","",IF(COUNTIF($A$6:$A$605,A493)&gt;1,"DUPLICADO","OK"))</x:f>
      </x:c>
      <x:c r="Z493" s="61" t="str">
        <x:f>IF(A493="","",IF(C493="","FALTA TÍTULO",IF(E493="","FALTA ÁREA",IF(W493&lt;&gt;"Sí","PENDIENTE","LISTO"))))</x:f>
      </x:c>
    </x:row>
    <x:row r="494">
      <x:c r="A494" s="40"/>
      <x:c r="B494" s="40"/>
      <x:c r="C494" s="37"/>
      <x:c r="D494" s="37"/>
      <x:c r="E494" s="37"/>
      <x:c r="F494" s="43"/>
      <x:c r="G494" s="43"/>
      <x:c r="H494" s="43"/>
      <x:c r="I494" s="55" t="str">
        <x:f>IF(OR(F494="",G494="",H494=""),"",F494&amp;" "&amp;UPPER(G494)&amp;"."&amp;LOWER(H494))</x:f>
      </x:c>
      <x:c r="J494" s="37"/>
      <x:c r="K494" s="37"/>
      <x:c r="L494" s="46"/>
      <x:c r="M494" s="43"/>
      <x:c r="N494" s="43"/>
      <x:c r="O494" s="43"/>
      <x:c r="P494" s="58" t="str">
        <x:f>IF(N494="","","Estantería "&amp;N494&amp;IF(O494="",""," - Balda "&amp;N494&amp;O494))</x:f>
      </x:c>
      <x:c r="Q494" s="37"/>
      <x:c r="R494" s="37"/>
      <x:c r="S494" s="49"/>
      <x:c r="T494" s="37"/>
      <x:c r="U494" s="37"/>
      <x:c r="V494" s="37"/>
      <x:c r="W494" s="34"/>
      <x:c r="X494" s="52"/>
      <x:c r="Y494" s="61" t="str">
        <x:f>IF(A494="","",IF(COUNTIF($A$6:$A$605,A494)&gt;1,"DUPLICADO","OK"))</x:f>
      </x:c>
      <x:c r="Z494" s="61" t="str">
        <x:f>IF(A494="","",IF(C494="","FALTA TÍTULO",IF(E494="","FALTA ÁREA",IF(W494&lt;&gt;"Sí","PENDIENTE","LISTO"))))</x:f>
      </x:c>
    </x:row>
    <x:row r="495">
      <x:c r="A495" s="40"/>
      <x:c r="B495" s="40"/>
      <x:c r="C495" s="37"/>
      <x:c r="D495" s="37"/>
      <x:c r="E495" s="37"/>
      <x:c r="F495" s="43"/>
      <x:c r="G495" s="43"/>
      <x:c r="H495" s="43"/>
      <x:c r="I495" s="55" t="str">
        <x:f>IF(OR(F495="",G495="",H495=""),"",F495&amp;" "&amp;UPPER(G495)&amp;"."&amp;LOWER(H495))</x:f>
      </x:c>
      <x:c r="J495" s="37"/>
      <x:c r="K495" s="37"/>
      <x:c r="L495" s="46"/>
      <x:c r="M495" s="43"/>
      <x:c r="N495" s="43"/>
      <x:c r="O495" s="43"/>
      <x:c r="P495" s="58" t="str">
        <x:f>IF(N495="","","Estantería "&amp;N495&amp;IF(O495="",""," - Balda "&amp;N495&amp;O495))</x:f>
      </x:c>
      <x:c r="Q495" s="37"/>
      <x:c r="R495" s="37"/>
      <x:c r="S495" s="49"/>
      <x:c r="T495" s="37"/>
      <x:c r="U495" s="37"/>
      <x:c r="V495" s="37"/>
      <x:c r="W495" s="34"/>
      <x:c r="X495" s="52"/>
      <x:c r="Y495" s="61" t="str">
        <x:f>IF(A495="","",IF(COUNTIF($A$6:$A$605,A495)&gt;1,"DUPLICADO","OK"))</x:f>
      </x:c>
      <x:c r="Z495" s="61" t="str">
        <x:f>IF(A495="","",IF(C495="","FALTA TÍTULO",IF(E495="","FALTA ÁREA",IF(W495&lt;&gt;"Sí","PENDIENTE","LISTO"))))</x:f>
      </x:c>
    </x:row>
    <x:row r="496">
      <x:c r="A496" s="40"/>
      <x:c r="B496" s="40"/>
      <x:c r="C496" s="37"/>
      <x:c r="D496" s="37"/>
      <x:c r="E496" s="37"/>
      <x:c r="F496" s="43"/>
      <x:c r="G496" s="43"/>
      <x:c r="H496" s="43"/>
      <x:c r="I496" s="55" t="str">
        <x:f>IF(OR(F496="",G496="",H496=""),"",F496&amp;" "&amp;UPPER(G496)&amp;"."&amp;LOWER(H496))</x:f>
      </x:c>
      <x:c r="J496" s="37"/>
      <x:c r="K496" s="37"/>
      <x:c r="L496" s="46"/>
      <x:c r="M496" s="43"/>
      <x:c r="N496" s="43"/>
      <x:c r="O496" s="43"/>
      <x:c r="P496" s="58" t="str">
        <x:f>IF(N496="","","Estantería "&amp;N496&amp;IF(O496="",""," - Balda "&amp;N496&amp;O496))</x:f>
      </x:c>
      <x:c r="Q496" s="37"/>
      <x:c r="R496" s="37"/>
      <x:c r="S496" s="49"/>
      <x:c r="T496" s="37"/>
      <x:c r="U496" s="37"/>
      <x:c r="V496" s="37"/>
      <x:c r="W496" s="34"/>
      <x:c r="X496" s="52"/>
      <x:c r="Y496" s="61" t="str">
        <x:f>IF(A496="","",IF(COUNTIF($A$6:$A$605,A496)&gt;1,"DUPLICADO","OK"))</x:f>
      </x:c>
      <x:c r="Z496" s="61" t="str">
        <x:f>IF(A496="","",IF(C496="","FALTA TÍTULO",IF(E496="","FALTA ÁREA",IF(W496&lt;&gt;"Sí","PENDIENTE","LISTO"))))</x:f>
      </x:c>
    </x:row>
    <x:row r="497">
      <x:c r="A497" s="40"/>
      <x:c r="B497" s="40"/>
      <x:c r="C497" s="37"/>
      <x:c r="D497" s="37"/>
      <x:c r="E497" s="37"/>
      <x:c r="F497" s="43"/>
      <x:c r="G497" s="43"/>
      <x:c r="H497" s="43"/>
      <x:c r="I497" s="55" t="str">
        <x:f>IF(OR(F497="",G497="",H497=""),"",F497&amp;" "&amp;UPPER(G497)&amp;"."&amp;LOWER(H497))</x:f>
      </x:c>
      <x:c r="J497" s="37"/>
      <x:c r="K497" s="37"/>
      <x:c r="L497" s="46"/>
      <x:c r="M497" s="43"/>
      <x:c r="N497" s="43"/>
      <x:c r="O497" s="43"/>
      <x:c r="P497" s="58" t="str">
        <x:f>IF(N497="","","Estantería "&amp;N497&amp;IF(O497="",""," - Balda "&amp;N497&amp;O497))</x:f>
      </x:c>
      <x:c r="Q497" s="37"/>
      <x:c r="R497" s="37"/>
      <x:c r="S497" s="49"/>
      <x:c r="T497" s="37"/>
      <x:c r="U497" s="37"/>
      <x:c r="V497" s="37"/>
      <x:c r="W497" s="34"/>
      <x:c r="X497" s="52"/>
      <x:c r="Y497" s="61" t="str">
        <x:f>IF(A497="","",IF(COUNTIF($A$6:$A$605,A497)&gt;1,"DUPLICADO","OK"))</x:f>
      </x:c>
      <x:c r="Z497" s="61" t="str">
        <x:f>IF(A497="","",IF(C497="","FALTA TÍTULO",IF(E497="","FALTA ÁREA",IF(W497&lt;&gt;"Sí","PENDIENTE","LISTO"))))</x:f>
      </x:c>
    </x:row>
    <x:row r="498">
      <x:c r="A498" s="40"/>
      <x:c r="B498" s="40"/>
      <x:c r="C498" s="37"/>
      <x:c r="D498" s="37"/>
      <x:c r="E498" s="37"/>
      <x:c r="F498" s="43"/>
      <x:c r="G498" s="43"/>
      <x:c r="H498" s="43"/>
      <x:c r="I498" s="55" t="str">
        <x:f>IF(OR(F498="",G498="",H498=""),"",F498&amp;" "&amp;UPPER(G498)&amp;"."&amp;LOWER(H498))</x:f>
      </x:c>
      <x:c r="J498" s="37"/>
      <x:c r="K498" s="37"/>
      <x:c r="L498" s="46"/>
      <x:c r="M498" s="43"/>
      <x:c r="N498" s="43"/>
      <x:c r="O498" s="43"/>
      <x:c r="P498" s="58" t="str">
        <x:f>IF(N498="","","Estantería "&amp;N498&amp;IF(O498="",""," - Balda "&amp;N498&amp;O498))</x:f>
      </x:c>
      <x:c r="Q498" s="37"/>
      <x:c r="R498" s="37"/>
      <x:c r="S498" s="49"/>
      <x:c r="T498" s="37"/>
      <x:c r="U498" s="37"/>
      <x:c r="V498" s="37"/>
      <x:c r="W498" s="34"/>
      <x:c r="X498" s="52"/>
      <x:c r="Y498" s="61" t="str">
        <x:f>IF(A498="","",IF(COUNTIF($A$6:$A$605,A498)&gt;1,"DUPLICADO","OK"))</x:f>
      </x:c>
      <x:c r="Z498" s="61" t="str">
        <x:f>IF(A498="","",IF(C498="","FALTA TÍTULO",IF(E498="","FALTA ÁREA",IF(W498&lt;&gt;"Sí","PENDIENTE","LISTO"))))</x:f>
      </x:c>
    </x:row>
    <x:row r="499">
      <x:c r="A499" s="40"/>
      <x:c r="B499" s="40"/>
      <x:c r="C499" s="37"/>
      <x:c r="D499" s="37"/>
      <x:c r="E499" s="37"/>
      <x:c r="F499" s="43"/>
      <x:c r="G499" s="43"/>
      <x:c r="H499" s="43"/>
      <x:c r="I499" s="55" t="str">
        <x:f>IF(OR(F499="",G499="",H499=""),"",F499&amp;" "&amp;UPPER(G499)&amp;"."&amp;LOWER(H499))</x:f>
      </x:c>
      <x:c r="J499" s="37"/>
      <x:c r="K499" s="37"/>
      <x:c r="L499" s="46"/>
      <x:c r="M499" s="43"/>
      <x:c r="N499" s="43"/>
      <x:c r="O499" s="43"/>
      <x:c r="P499" s="58" t="str">
        <x:f>IF(N499="","","Estantería "&amp;N499&amp;IF(O499="",""," - Balda "&amp;N499&amp;O499))</x:f>
      </x:c>
      <x:c r="Q499" s="37"/>
      <x:c r="R499" s="37"/>
      <x:c r="S499" s="49"/>
      <x:c r="T499" s="37"/>
      <x:c r="U499" s="37"/>
      <x:c r="V499" s="37"/>
      <x:c r="W499" s="34"/>
      <x:c r="X499" s="52"/>
      <x:c r="Y499" s="61" t="str">
        <x:f>IF(A499="","",IF(COUNTIF($A$6:$A$605,A499)&gt;1,"DUPLICADO","OK"))</x:f>
      </x:c>
      <x:c r="Z499" s="61" t="str">
        <x:f>IF(A499="","",IF(C499="","FALTA TÍTULO",IF(E499="","FALTA ÁREA",IF(W499&lt;&gt;"Sí","PENDIENTE","LISTO"))))</x:f>
      </x:c>
    </x:row>
    <x:row r="500">
      <x:c r="A500" s="40"/>
      <x:c r="B500" s="40"/>
      <x:c r="C500" s="37"/>
      <x:c r="D500" s="37"/>
      <x:c r="E500" s="37"/>
      <x:c r="F500" s="43"/>
      <x:c r="G500" s="43"/>
      <x:c r="H500" s="43"/>
      <x:c r="I500" s="55" t="str">
        <x:f>IF(OR(F500="",G500="",H500=""),"",F500&amp;" "&amp;UPPER(G500)&amp;"."&amp;LOWER(H500))</x:f>
      </x:c>
      <x:c r="J500" s="37"/>
      <x:c r="K500" s="37"/>
      <x:c r="L500" s="46"/>
      <x:c r="M500" s="43"/>
      <x:c r="N500" s="43"/>
      <x:c r="O500" s="43"/>
      <x:c r="P500" s="58" t="str">
        <x:f>IF(N500="","","Estantería "&amp;N500&amp;IF(O500="",""," - Balda "&amp;N500&amp;O500))</x:f>
      </x:c>
      <x:c r="Q500" s="37"/>
      <x:c r="R500" s="37"/>
      <x:c r="S500" s="49"/>
      <x:c r="T500" s="37"/>
      <x:c r="U500" s="37"/>
      <x:c r="V500" s="37"/>
      <x:c r="W500" s="34"/>
      <x:c r="X500" s="52"/>
      <x:c r="Y500" s="61" t="str">
        <x:f>IF(A500="","",IF(COUNTIF($A$6:$A$605,A500)&gt;1,"DUPLICADO","OK"))</x:f>
      </x:c>
      <x:c r="Z500" s="61" t="str">
        <x:f>IF(A500="","",IF(C500="","FALTA TÍTULO",IF(E500="","FALTA ÁREA",IF(W500&lt;&gt;"Sí","PENDIENTE","LISTO"))))</x:f>
      </x:c>
    </x:row>
    <x:row r="501">
      <x:c r="A501" s="40"/>
      <x:c r="B501" s="40"/>
      <x:c r="C501" s="37"/>
      <x:c r="D501" s="37"/>
      <x:c r="E501" s="37"/>
      <x:c r="F501" s="43"/>
      <x:c r="G501" s="43"/>
      <x:c r="H501" s="43"/>
      <x:c r="I501" s="55" t="str">
        <x:f>IF(OR(F501="",G501="",H501=""),"",F501&amp;" "&amp;UPPER(G501)&amp;"."&amp;LOWER(H501))</x:f>
      </x:c>
      <x:c r="J501" s="37"/>
      <x:c r="K501" s="37"/>
      <x:c r="L501" s="46"/>
      <x:c r="M501" s="43"/>
      <x:c r="N501" s="43"/>
      <x:c r="O501" s="43"/>
      <x:c r="P501" s="58" t="str">
        <x:f>IF(N501="","","Estantería "&amp;N501&amp;IF(O501="",""," - Balda "&amp;N501&amp;O501))</x:f>
      </x:c>
      <x:c r="Q501" s="37"/>
      <x:c r="R501" s="37"/>
      <x:c r="S501" s="49"/>
      <x:c r="T501" s="37"/>
      <x:c r="U501" s="37"/>
      <x:c r="V501" s="37"/>
      <x:c r="W501" s="34"/>
      <x:c r="X501" s="52"/>
      <x:c r="Y501" s="61" t="str">
        <x:f>IF(A501="","",IF(COUNTIF($A$6:$A$605,A501)&gt;1,"DUPLICADO","OK"))</x:f>
      </x:c>
      <x:c r="Z501" s="61" t="str">
        <x:f>IF(A501="","",IF(C501="","FALTA TÍTULO",IF(E501="","FALTA ÁREA",IF(W501&lt;&gt;"Sí","PENDIENTE","LISTO"))))</x:f>
      </x:c>
    </x:row>
    <x:row r="502">
      <x:c r="A502" s="40"/>
      <x:c r="B502" s="40"/>
      <x:c r="C502" s="37"/>
      <x:c r="D502" s="37"/>
      <x:c r="E502" s="37"/>
      <x:c r="F502" s="43"/>
      <x:c r="G502" s="43"/>
      <x:c r="H502" s="43"/>
      <x:c r="I502" s="55" t="str">
        <x:f>IF(OR(F502="",G502="",H502=""),"",F502&amp;" "&amp;UPPER(G502)&amp;"."&amp;LOWER(H502))</x:f>
      </x:c>
      <x:c r="J502" s="37"/>
      <x:c r="K502" s="37"/>
      <x:c r="L502" s="46"/>
      <x:c r="M502" s="43"/>
      <x:c r="N502" s="43"/>
      <x:c r="O502" s="43"/>
      <x:c r="P502" s="58" t="str">
        <x:f>IF(N502="","","Estantería "&amp;N502&amp;IF(O502="",""," - Balda "&amp;N502&amp;O502))</x:f>
      </x:c>
      <x:c r="Q502" s="37"/>
      <x:c r="R502" s="37"/>
      <x:c r="S502" s="49"/>
      <x:c r="T502" s="37"/>
      <x:c r="U502" s="37"/>
      <x:c r="V502" s="37"/>
      <x:c r="W502" s="34"/>
      <x:c r="X502" s="52"/>
      <x:c r="Y502" s="61" t="str">
        <x:f>IF(A502="","",IF(COUNTIF($A$6:$A$605,A502)&gt;1,"DUPLICADO","OK"))</x:f>
      </x:c>
      <x:c r="Z502" s="61" t="str">
        <x:f>IF(A502="","",IF(C502="","FALTA TÍTULO",IF(E502="","FALTA ÁREA",IF(W502&lt;&gt;"Sí","PENDIENTE","LISTO"))))</x:f>
      </x:c>
    </x:row>
    <x:row r="503">
      <x:c r="A503" s="40"/>
      <x:c r="B503" s="40"/>
      <x:c r="C503" s="37"/>
      <x:c r="D503" s="37"/>
      <x:c r="E503" s="37"/>
      <x:c r="F503" s="43"/>
      <x:c r="G503" s="43"/>
      <x:c r="H503" s="43"/>
      <x:c r="I503" s="55" t="str">
        <x:f>IF(OR(F503="",G503="",H503=""),"",F503&amp;" "&amp;UPPER(G503)&amp;"."&amp;LOWER(H503))</x:f>
      </x:c>
      <x:c r="J503" s="37"/>
      <x:c r="K503" s="37"/>
      <x:c r="L503" s="46"/>
      <x:c r="M503" s="43"/>
      <x:c r="N503" s="43"/>
      <x:c r="O503" s="43"/>
      <x:c r="P503" s="58" t="str">
        <x:f>IF(N503="","","Estantería "&amp;N503&amp;IF(O503="",""," - Balda "&amp;N503&amp;O503))</x:f>
      </x:c>
      <x:c r="Q503" s="37"/>
      <x:c r="R503" s="37"/>
      <x:c r="S503" s="49"/>
      <x:c r="T503" s="37"/>
      <x:c r="U503" s="37"/>
      <x:c r="V503" s="37"/>
      <x:c r="W503" s="34"/>
      <x:c r="X503" s="52"/>
      <x:c r="Y503" s="61" t="str">
        <x:f>IF(A503="","",IF(COUNTIF($A$6:$A$605,A503)&gt;1,"DUPLICADO","OK"))</x:f>
      </x:c>
      <x:c r="Z503" s="61" t="str">
        <x:f>IF(A503="","",IF(C503="","FALTA TÍTULO",IF(E503="","FALTA ÁREA",IF(W503&lt;&gt;"Sí","PENDIENTE","LISTO"))))</x:f>
      </x:c>
    </x:row>
    <x:row r="504">
      <x:c r="A504" s="40"/>
      <x:c r="B504" s="40"/>
      <x:c r="C504" s="37"/>
      <x:c r="D504" s="37"/>
      <x:c r="E504" s="37"/>
      <x:c r="F504" s="43"/>
      <x:c r="G504" s="43"/>
      <x:c r="H504" s="43"/>
      <x:c r="I504" s="55" t="str">
        <x:f>IF(OR(F504="",G504="",H504=""),"",F504&amp;" "&amp;UPPER(G504)&amp;"."&amp;LOWER(H504))</x:f>
      </x:c>
      <x:c r="J504" s="37"/>
      <x:c r="K504" s="37"/>
      <x:c r="L504" s="46"/>
      <x:c r="M504" s="43"/>
      <x:c r="N504" s="43"/>
      <x:c r="O504" s="43"/>
      <x:c r="P504" s="58" t="str">
        <x:f>IF(N504="","","Estantería "&amp;N504&amp;IF(O504="",""," - Balda "&amp;N504&amp;O504))</x:f>
      </x:c>
      <x:c r="Q504" s="37"/>
      <x:c r="R504" s="37"/>
      <x:c r="S504" s="49"/>
      <x:c r="T504" s="37"/>
      <x:c r="U504" s="37"/>
      <x:c r="V504" s="37"/>
      <x:c r="W504" s="34"/>
      <x:c r="X504" s="52"/>
      <x:c r="Y504" s="61" t="str">
        <x:f>IF(A504="","",IF(COUNTIF($A$6:$A$605,A504)&gt;1,"DUPLICADO","OK"))</x:f>
      </x:c>
      <x:c r="Z504" s="61" t="str">
        <x:f>IF(A504="","",IF(C504="","FALTA TÍTULO",IF(E504="","FALTA ÁREA",IF(W504&lt;&gt;"Sí","PENDIENTE","LISTO"))))</x:f>
      </x:c>
    </x:row>
    <x:row r="505">
      <x:c r="A505" s="40"/>
      <x:c r="B505" s="40"/>
      <x:c r="C505" s="37"/>
      <x:c r="D505" s="37"/>
      <x:c r="E505" s="37"/>
      <x:c r="F505" s="43"/>
      <x:c r="G505" s="43"/>
      <x:c r="H505" s="43"/>
      <x:c r="I505" s="55" t="str">
        <x:f>IF(OR(F505="",G505="",H505=""),"",F505&amp;" "&amp;UPPER(G505)&amp;"."&amp;LOWER(H505))</x:f>
      </x:c>
      <x:c r="J505" s="37"/>
      <x:c r="K505" s="37"/>
      <x:c r="L505" s="46"/>
      <x:c r="M505" s="43"/>
      <x:c r="N505" s="43"/>
      <x:c r="O505" s="43"/>
      <x:c r="P505" s="58" t="str">
        <x:f>IF(N505="","","Estantería "&amp;N505&amp;IF(O505="",""," - Balda "&amp;N505&amp;O505))</x:f>
      </x:c>
      <x:c r="Q505" s="37"/>
      <x:c r="R505" s="37"/>
      <x:c r="S505" s="49"/>
      <x:c r="T505" s="37"/>
      <x:c r="U505" s="37"/>
      <x:c r="V505" s="37"/>
      <x:c r="W505" s="34"/>
      <x:c r="X505" s="52"/>
      <x:c r="Y505" s="61" t="str">
        <x:f>IF(A505="","",IF(COUNTIF($A$6:$A$605,A505)&gt;1,"DUPLICADO","OK"))</x:f>
      </x:c>
      <x:c r="Z505" s="61" t="str">
        <x:f>IF(A505="","",IF(C505="","FALTA TÍTULO",IF(E505="","FALTA ÁREA",IF(W505&lt;&gt;"Sí","PENDIENTE","LISTO"))))</x:f>
      </x:c>
    </x:row>
    <x:row r="506">
      <x:c r="A506" s="40"/>
      <x:c r="B506" s="40"/>
      <x:c r="C506" s="37"/>
      <x:c r="D506" s="37"/>
      <x:c r="E506" s="37"/>
      <x:c r="F506" s="43"/>
      <x:c r="G506" s="43"/>
      <x:c r="H506" s="43"/>
      <x:c r="I506" s="55" t="str">
        <x:f>IF(OR(F506="",G506="",H506=""),"",F506&amp;" "&amp;UPPER(G506)&amp;"."&amp;LOWER(H506))</x:f>
      </x:c>
      <x:c r="J506" s="37"/>
      <x:c r="K506" s="37"/>
      <x:c r="L506" s="46"/>
      <x:c r="M506" s="43"/>
      <x:c r="N506" s="43"/>
      <x:c r="O506" s="43"/>
      <x:c r="P506" s="58" t="str">
        <x:f>IF(N506="","","Estantería "&amp;N506&amp;IF(O506="",""," - Balda "&amp;N506&amp;O506))</x:f>
      </x:c>
      <x:c r="Q506" s="37"/>
      <x:c r="R506" s="37"/>
      <x:c r="S506" s="49"/>
      <x:c r="T506" s="37"/>
      <x:c r="U506" s="37"/>
      <x:c r="V506" s="37"/>
      <x:c r="W506" s="34"/>
      <x:c r="X506" s="52"/>
      <x:c r="Y506" s="61" t="str">
        <x:f>IF(A506="","",IF(COUNTIF($A$6:$A$605,A506)&gt;1,"DUPLICADO","OK"))</x:f>
      </x:c>
      <x:c r="Z506" s="61" t="str">
        <x:f>IF(A506="","",IF(C506="","FALTA TÍTULO",IF(E506="","FALTA ÁREA",IF(W506&lt;&gt;"Sí","PENDIENTE","LISTO"))))</x:f>
      </x:c>
    </x:row>
    <x:row r="507">
      <x:c r="A507" s="40"/>
      <x:c r="B507" s="40"/>
      <x:c r="C507" s="37"/>
      <x:c r="D507" s="37"/>
      <x:c r="E507" s="37"/>
      <x:c r="F507" s="43"/>
      <x:c r="G507" s="43"/>
      <x:c r="H507" s="43"/>
      <x:c r="I507" s="55" t="str">
        <x:f>IF(OR(F507="",G507="",H507=""),"",F507&amp;" "&amp;UPPER(G507)&amp;"."&amp;LOWER(H507))</x:f>
      </x:c>
      <x:c r="J507" s="37"/>
      <x:c r="K507" s="37"/>
      <x:c r="L507" s="46"/>
      <x:c r="M507" s="43"/>
      <x:c r="N507" s="43"/>
      <x:c r="O507" s="43"/>
      <x:c r="P507" s="58" t="str">
        <x:f>IF(N507="","","Estantería "&amp;N507&amp;IF(O507="",""," - Balda "&amp;N507&amp;O507))</x:f>
      </x:c>
      <x:c r="Q507" s="37"/>
      <x:c r="R507" s="37"/>
      <x:c r="S507" s="49"/>
      <x:c r="T507" s="37"/>
      <x:c r="U507" s="37"/>
      <x:c r="V507" s="37"/>
      <x:c r="W507" s="34"/>
      <x:c r="X507" s="52"/>
      <x:c r="Y507" s="61" t="str">
        <x:f>IF(A507="","",IF(COUNTIF($A$6:$A$605,A507)&gt;1,"DUPLICADO","OK"))</x:f>
      </x:c>
      <x:c r="Z507" s="61" t="str">
        <x:f>IF(A507="","",IF(C507="","FALTA TÍTULO",IF(E507="","FALTA ÁREA",IF(W507&lt;&gt;"Sí","PENDIENTE","LISTO"))))</x:f>
      </x:c>
    </x:row>
    <x:row r="508">
      <x:c r="A508" s="40"/>
      <x:c r="B508" s="40"/>
      <x:c r="C508" s="37"/>
      <x:c r="D508" s="37"/>
      <x:c r="E508" s="37"/>
      <x:c r="F508" s="43"/>
      <x:c r="G508" s="43"/>
      <x:c r="H508" s="43"/>
      <x:c r="I508" s="55" t="str">
        <x:f>IF(OR(F508="",G508="",H508=""),"",F508&amp;" "&amp;UPPER(G508)&amp;"."&amp;LOWER(H508))</x:f>
      </x:c>
      <x:c r="J508" s="37"/>
      <x:c r="K508" s="37"/>
      <x:c r="L508" s="46"/>
      <x:c r="M508" s="43"/>
      <x:c r="N508" s="43"/>
      <x:c r="O508" s="43"/>
      <x:c r="P508" s="58" t="str">
        <x:f>IF(N508="","","Estantería "&amp;N508&amp;IF(O508="",""," - Balda "&amp;N508&amp;O508))</x:f>
      </x:c>
      <x:c r="Q508" s="37"/>
      <x:c r="R508" s="37"/>
      <x:c r="S508" s="49"/>
      <x:c r="T508" s="37"/>
      <x:c r="U508" s="37"/>
      <x:c r="V508" s="37"/>
      <x:c r="W508" s="34"/>
      <x:c r="X508" s="52"/>
      <x:c r="Y508" s="61" t="str">
        <x:f>IF(A508="","",IF(COUNTIF($A$6:$A$605,A508)&gt;1,"DUPLICADO","OK"))</x:f>
      </x:c>
      <x:c r="Z508" s="61" t="str">
        <x:f>IF(A508="","",IF(C508="","FALTA TÍTULO",IF(E508="","FALTA ÁREA",IF(W508&lt;&gt;"Sí","PENDIENTE","LISTO"))))</x:f>
      </x:c>
    </x:row>
    <x:row r="509">
      <x:c r="A509" s="40"/>
      <x:c r="B509" s="40"/>
      <x:c r="C509" s="37"/>
      <x:c r="D509" s="37"/>
      <x:c r="E509" s="37"/>
      <x:c r="F509" s="43"/>
      <x:c r="G509" s="43"/>
      <x:c r="H509" s="43"/>
      <x:c r="I509" s="55" t="str">
        <x:f>IF(OR(F509="",G509="",H509=""),"",F509&amp;" "&amp;UPPER(G509)&amp;"."&amp;LOWER(H509))</x:f>
      </x:c>
      <x:c r="J509" s="37"/>
      <x:c r="K509" s="37"/>
      <x:c r="L509" s="46"/>
      <x:c r="M509" s="43"/>
      <x:c r="N509" s="43"/>
      <x:c r="O509" s="43"/>
      <x:c r="P509" s="58" t="str">
        <x:f>IF(N509="","","Estantería "&amp;N509&amp;IF(O509="",""," - Balda "&amp;N509&amp;O509))</x:f>
      </x:c>
      <x:c r="Q509" s="37"/>
      <x:c r="R509" s="37"/>
      <x:c r="S509" s="49"/>
      <x:c r="T509" s="37"/>
      <x:c r="U509" s="37"/>
      <x:c r="V509" s="37"/>
      <x:c r="W509" s="34"/>
      <x:c r="X509" s="52"/>
      <x:c r="Y509" s="61" t="str">
        <x:f>IF(A509="","",IF(COUNTIF($A$6:$A$605,A509)&gt;1,"DUPLICADO","OK"))</x:f>
      </x:c>
      <x:c r="Z509" s="61" t="str">
        <x:f>IF(A509="","",IF(C509="","FALTA TÍTULO",IF(E509="","FALTA ÁREA",IF(W509&lt;&gt;"Sí","PENDIENTE","LISTO"))))</x:f>
      </x:c>
    </x:row>
    <x:row r="510">
      <x:c r="A510" s="40"/>
      <x:c r="B510" s="40"/>
      <x:c r="C510" s="37"/>
      <x:c r="D510" s="37"/>
      <x:c r="E510" s="37"/>
      <x:c r="F510" s="43"/>
      <x:c r="G510" s="43"/>
      <x:c r="H510" s="43"/>
      <x:c r="I510" s="55" t="str">
        <x:f>IF(OR(F510="",G510="",H510=""),"",F510&amp;" "&amp;UPPER(G510)&amp;"."&amp;LOWER(H510))</x:f>
      </x:c>
      <x:c r="J510" s="37"/>
      <x:c r="K510" s="37"/>
      <x:c r="L510" s="46"/>
      <x:c r="M510" s="43"/>
      <x:c r="N510" s="43"/>
      <x:c r="O510" s="43"/>
      <x:c r="P510" s="58" t="str">
        <x:f>IF(N510="","","Estantería "&amp;N510&amp;IF(O510="",""," - Balda "&amp;N510&amp;O510))</x:f>
      </x:c>
      <x:c r="Q510" s="37"/>
      <x:c r="R510" s="37"/>
      <x:c r="S510" s="49"/>
      <x:c r="T510" s="37"/>
      <x:c r="U510" s="37"/>
      <x:c r="V510" s="37"/>
      <x:c r="W510" s="34"/>
      <x:c r="X510" s="52"/>
      <x:c r="Y510" s="61" t="str">
        <x:f>IF(A510="","",IF(COUNTIF($A$6:$A$605,A510)&gt;1,"DUPLICADO","OK"))</x:f>
      </x:c>
      <x:c r="Z510" s="61" t="str">
        <x:f>IF(A510="","",IF(C510="","FALTA TÍTULO",IF(E510="","FALTA ÁREA",IF(W510&lt;&gt;"Sí","PENDIENTE","LISTO"))))</x:f>
      </x:c>
    </x:row>
    <x:row r="511">
      <x:c r="A511" s="40"/>
      <x:c r="B511" s="40"/>
      <x:c r="C511" s="37"/>
      <x:c r="D511" s="37"/>
      <x:c r="E511" s="37"/>
      <x:c r="F511" s="43"/>
      <x:c r="G511" s="43"/>
      <x:c r="H511" s="43"/>
      <x:c r="I511" s="55" t="str">
        <x:f>IF(OR(F511="",G511="",H511=""),"",F511&amp;" "&amp;UPPER(G511)&amp;"."&amp;LOWER(H511))</x:f>
      </x:c>
      <x:c r="J511" s="37"/>
      <x:c r="K511" s="37"/>
      <x:c r="L511" s="46"/>
      <x:c r="M511" s="43"/>
      <x:c r="N511" s="43"/>
      <x:c r="O511" s="43"/>
      <x:c r="P511" s="58" t="str">
        <x:f>IF(N511="","","Estantería "&amp;N511&amp;IF(O511="",""," - Balda "&amp;N511&amp;O511))</x:f>
      </x:c>
      <x:c r="Q511" s="37"/>
      <x:c r="R511" s="37"/>
      <x:c r="S511" s="49"/>
      <x:c r="T511" s="37"/>
      <x:c r="U511" s="37"/>
      <x:c r="V511" s="37"/>
      <x:c r="W511" s="34"/>
      <x:c r="X511" s="52"/>
      <x:c r="Y511" s="61" t="str">
        <x:f>IF(A511="","",IF(COUNTIF($A$6:$A$605,A511)&gt;1,"DUPLICADO","OK"))</x:f>
      </x:c>
      <x:c r="Z511" s="61" t="str">
        <x:f>IF(A511="","",IF(C511="","FALTA TÍTULO",IF(E511="","FALTA ÁREA",IF(W511&lt;&gt;"Sí","PENDIENTE","LISTO"))))</x:f>
      </x:c>
    </x:row>
    <x:row r="512">
      <x:c r="A512" s="40"/>
      <x:c r="B512" s="40"/>
      <x:c r="C512" s="37"/>
      <x:c r="D512" s="37"/>
      <x:c r="E512" s="37"/>
      <x:c r="F512" s="43"/>
      <x:c r="G512" s="43"/>
      <x:c r="H512" s="43"/>
      <x:c r="I512" s="55" t="str">
        <x:f>IF(OR(F512="",G512="",H512=""),"",F512&amp;" "&amp;UPPER(G512)&amp;"."&amp;LOWER(H512))</x:f>
      </x:c>
      <x:c r="J512" s="37"/>
      <x:c r="K512" s="37"/>
      <x:c r="L512" s="46"/>
      <x:c r="M512" s="43"/>
      <x:c r="N512" s="43"/>
      <x:c r="O512" s="43"/>
      <x:c r="P512" s="58" t="str">
        <x:f>IF(N512="","","Estantería "&amp;N512&amp;IF(O512="",""," - Balda "&amp;N512&amp;O512))</x:f>
      </x:c>
      <x:c r="Q512" s="37"/>
      <x:c r="R512" s="37"/>
      <x:c r="S512" s="49"/>
      <x:c r="T512" s="37"/>
      <x:c r="U512" s="37"/>
      <x:c r="V512" s="37"/>
      <x:c r="W512" s="34"/>
      <x:c r="X512" s="52"/>
      <x:c r="Y512" s="61" t="str">
        <x:f>IF(A512="","",IF(COUNTIF($A$6:$A$605,A512)&gt;1,"DUPLICADO","OK"))</x:f>
      </x:c>
      <x:c r="Z512" s="61" t="str">
        <x:f>IF(A512="","",IF(C512="","FALTA TÍTULO",IF(E512="","FALTA ÁREA",IF(W512&lt;&gt;"Sí","PENDIENTE","LISTO"))))</x:f>
      </x:c>
    </x:row>
    <x:row r="513">
      <x:c r="A513" s="40"/>
      <x:c r="B513" s="40"/>
      <x:c r="C513" s="37"/>
      <x:c r="D513" s="37"/>
      <x:c r="E513" s="37"/>
      <x:c r="F513" s="43"/>
      <x:c r="G513" s="43"/>
      <x:c r="H513" s="43"/>
      <x:c r="I513" s="55" t="str">
        <x:f>IF(OR(F513="",G513="",H513=""),"",F513&amp;" "&amp;UPPER(G513)&amp;"."&amp;LOWER(H513))</x:f>
      </x:c>
      <x:c r="J513" s="37"/>
      <x:c r="K513" s="37"/>
      <x:c r="L513" s="46"/>
      <x:c r="M513" s="43"/>
      <x:c r="N513" s="43"/>
      <x:c r="O513" s="43"/>
      <x:c r="P513" s="58" t="str">
        <x:f>IF(N513="","","Estantería "&amp;N513&amp;IF(O513="",""," - Balda "&amp;N513&amp;O513))</x:f>
      </x:c>
      <x:c r="Q513" s="37"/>
      <x:c r="R513" s="37"/>
      <x:c r="S513" s="49"/>
      <x:c r="T513" s="37"/>
      <x:c r="U513" s="37"/>
      <x:c r="V513" s="37"/>
      <x:c r="W513" s="34"/>
      <x:c r="X513" s="52"/>
      <x:c r="Y513" s="61" t="str">
        <x:f>IF(A513="","",IF(COUNTIF($A$6:$A$605,A513)&gt;1,"DUPLICADO","OK"))</x:f>
      </x:c>
      <x:c r="Z513" s="61" t="str">
        <x:f>IF(A513="","",IF(C513="","FALTA TÍTULO",IF(E513="","FALTA ÁREA",IF(W513&lt;&gt;"Sí","PENDIENTE","LISTO"))))</x:f>
      </x:c>
    </x:row>
    <x:row r="514">
      <x:c r="A514" s="40"/>
      <x:c r="B514" s="40"/>
      <x:c r="C514" s="37"/>
      <x:c r="D514" s="37"/>
      <x:c r="E514" s="37"/>
      <x:c r="F514" s="43"/>
      <x:c r="G514" s="43"/>
      <x:c r="H514" s="43"/>
      <x:c r="I514" s="55" t="str">
        <x:f>IF(OR(F514="",G514="",H514=""),"",F514&amp;" "&amp;UPPER(G514)&amp;"."&amp;LOWER(H514))</x:f>
      </x:c>
      <x:c r="J514" s="37"/>
      <x:c r="K514" s="37"/>
      <x:c r="L514" s="46"/>
      <x:c r="M514" s="43"/>
      <x:c r="N514" s="43"/>
      <x:c r="O514" s="43"/>
      <x:c r="P514" s="58" t="str">
        <x:f>IF(N514="","","Estantería "&amp;N514&amp;IF(O514="",""," - Balda "&amp;N514&amp;O514))</x:f>
      </x:c>
      <x:c r="Q514" s="37"/>
      <x:c r="R514" s="37"/>
      <x:c r="S514" s="49"/>
      <x:c r="T514" s="37"/>
      <x:c r="U514" s="37"/>
      <x:c r="V514" s="37"/>
      <x:c r="W514" s="34"/>
      <x:c r="X514" s="52"/>
      <x:c r="Y514" s="61" t="str">
        <x:f>IF(A514="","",IF(COUNTIF($A$6:$A$605,A514)&gt;1,"DUPLICADO","OK"))</x:f>
      </x:c>
      <x:c r="Z514" s="61" t="str">
        <x:f>IF(A514="","",IF(C514="","FALTA TÍTULO",IF(E514="","FALTA ÁREA",IF(W514&lt;&gt;"Sí","PENDIENTE","LISTO"))))</x:f>
      </x:c>
    </x:row>
    <x:row r="515">
      <x:c r="A515" s="40"/>
      <x:c r="B515" s="40"/>
      <x:c r="C515" s="37"/>
      <x:c r="D515" s="37"/>
      <x:c r="E515" s="37"/>
      <x:c r="F515" s="43"/>
      <x:c r="G515" s="43"/>
      <x:c r="H515" s="43"/>
      <x:c r="I515" s="55" t="str">
        <x:f>IF(OR(F515="",G515="",H515=""),"",F515&amp;" "&amp;UPPER(G515)&amp;"."&amp;LOWER(H515))</x:f>
      </x:c>
      <x:c r="J515" s="37"/>
      <x:c r="K515" s="37"/>
      <x:c r="L515" s="46"/>
      <x:c r="M515" s="43"/>
      <x:c r="N515" s="43"/>
      <x:c r="O515" s="43"/>
      <x:c r="P515" s="58" t="str">
        <x:f>IF(N515="","","Estantería "&amp;N515&amp;IF(O515="",""," - Balda "&amp;N515&amp;O515))</x:f>
      </x:c>
      <x:c r="Q515" s="37"/>
      <x:c r="R515" s="37"/>
      <x:c r="S515" s="49"/>
      <x:c r="T515" s="37"/>
      <x:c r="U515" s="37"/>
      <x:c r="V515" s="37"/>
      <x:c r="W515" s="34"/>
      <x:c r="X515" s="52"/>
      <x:c r="Y515" s="61" t="str">
        <x:f>IF(A515="","",IF(COUNTIF($A$6:$A$605,A515)&gt;1,"DUPLICADO","OK"))</x:f>
      </x:c>
      <x:c r="Z515" s="61" t="str">
        <x:f>IF(A515="","",IF(C515="","FALTA TÍTULO",IF(E515="","FALTA ÁREA",IF(W515&lt;&gt;"Sí","PENDIENTE","LISTO"))))</x:f>
      </x:c>
    </x:row>
    <x:row r="516">
      <x:c r="A516" s="40"/>
      <x:c r="B516" s="40"/>
      <x:c r="C516" s="37"/>
      <x:c r="D516" s="37"/>
      <x:c r="E516" s="37"/>
      <x:c r="F516" s="43"/>
      <x:c r="G516" s="43"/>
      <x:c r="H516" s="43"/>
      <x:c r="I516" s="55" t="str">
        <x:f>IF(OR(F516="",G516="",H516=""),"",F516&amp;" "&amp;UPPER(G516)&amp;"."&amp;LOWER(H516))</x:f>
      </x:c>
      <x:c r="J516" s="37"/>
      <x:c r="K516" s="37"/>
      <x:c r="L516" s="46"/>
      <x:c r="M516" s="43"/>
      <x:c r="N516" s="43"/>
      <x:c r="O516" s="43"/>
      <x:c r="P516" s="58" t="str">
        <x:f>IF(N516="","","Estantería "&amp;N516&amp;IF(O516="",""," - Balda "&amp;N516&amp;O516))</x:f>
      </x:c>
      <x:c r="Q516" s="37"/>
      <x:c r="R516" s="37"/>
      <x:c r="S516" s="49"/>
      <x:c r="T516" s="37"/>
      <x:c r="U516" s="37"/>
      <x:c r="V516" s="37"/>
      <x:c r="W516" s="34"/>
      <x:c r="X516" s="52"/>
      <x:c r="Y516" s="61" t="str">
        <x:f>IF(A516="","",IF(COUNTIF($A$6:$A$605,A516)&gt;1,"DUPLICADO","OK"))</x:f>
      </x:c>
      <x:c r="Z516" s="61" t="str">
        <x:f>IF(A516="","",IF(C516="","FALTA TÍTULO",IF(E516="","FALTA ÁREA",IF(W516&lt;&gt;"Sí","PENDIENTE","LISTO"))))</x:f>
      </x:c>
    </x:row>
    <x:row r="517">
      <x:c r="A517" s="40"/>
      <x:c r="B517" s="40"/>
      <x:c r="C517" s="37"/>
      <x:c r="D517" s="37"/>
      <x:c r="E517" s="37"/>
      <x:c r="F517" s="43"/>
      <x:c r="G517" s="43"/>
      <x:c r="H517" s="43"/>
      <x:c r="I517" s="55" t="str">
        <x:f>IF(OR(F517="",G517="",H517=""),"",F517&amp;" "&amp;UPPER(G517)&amp;"."&amp;LOWER(H517))</x:f>
      </x:c>
      <x:c r="J517" s="37"/>
      <x:c r="K517" s="37"/>
      <x:c r="L517" s="46"/>
      <x:c r="M517" s="43"/>
      <x:c r="N517" s="43"/>
      <x:c r="O517" s="43"/>
      <x:c r="P517" s="58" t="str">
        <x:f>IF(N517="","","Estantería "&amp;N517&amp;IF(O517="",""," - Balda "&amp;N517&amp;O517))</x:f>
      </x:c>
      <x:c r="Q517" s="37"/>
      <x:c r="R517" s="37"/>
      <x:c r="S517" s="49"/>
      <x:c r="T517" s="37"/>
      <x:c r="U517" s="37"/>
      <x:c r="V517" s="37"/>
      <x:c r="W517" s="34"/>
      <x:c r="X517" s="52"/>
      <x:c r="Y517" s="61" t="str">
        <x:f>IF(A517="","",IF(COUNTIF($A$6:$A$605,A517)&gt;1,"DUPLICADO","OK"))</x:f>
      </x:c>
      <x:c r="Z517" s="61" t="str">
        <x:f>IF(A517="","",IF(C517="","FALTA TÍTULO",IF(E517="","FALTA ÁREA",IF(W517&lt;&gt;"Sí","PENDIENTE","LISTO"))))</x:f>
      </x:c>
    </x:row>
    <x:row r="518">
      <x:c r="A518" s="40"/>
      <x:c r="B518" s="40"/>
      <x:c r="C518" s="37"/>
      <x:c r="D518" s="37"/>
      <x:c r="E518" s="37"/>
      <x:c r="F518" s="43"/>
      <x:c r="G518" s="43"/>
      <x:c r="H518" s="43"/>
      <x:c r="I518" s="55" t="str">
        <x:f>IF(OR(F518="",G518="",H518=""),"",F518&amp;" "&amp;UPPER(G518)&amp;"."&amp;LOWER(H518))</x:f>
      </x:c>
      <x:c r="J518" s="37"/>
      <x:c r="K518" s="37"/>
      <x:c r="L518" s="46"/>
      <x:c r="M518" s="43"/>
      <x:c r="N518" s="43"/>
      <x:c r="O518" s="43"/>
      <x:c r="P518" s="58" t="str">
        <x:f>IF(N518="","","Estantería "&amp;N518&amp;IF(O518="",""," - Balda "&amp;N518&amp;O518))</x:f>
      </x:c>
      <x:c r="Q518" s="37"/>
      <x:c r="R518" s="37"/>
      <x:c r="S518" s="49"/>
      <x:c r="T518" s="37"/>
      <x:c r="U518" s="37"/>
      <x:c r="V518" s="37"/>
      <x:c r="W518" s="34"/>
      <x:c r="X518" s="52"/>
      <x:c r="Y518" s="61" t="str">
        <x:f>IF(A518="","",IF(COUNTIF($A$6:$A$605,A518)&gt;1,"DUPLICADO","OK"))</x:f>
      </x:c>
      <x:c r="Z518" s="61" t="str">
        <x:f>IF(A518="","",IF(C518="","FALTA TÍTULO",IF(E518="","FALTA ÁREA",IF(W518&lt;&gt;"Sí","PENDIENTE","LISTO"))))</x:f>
      </x:c>
    </x:row>
    <x:row r="519">
      <x:c r="A519" s="40"/>
      <x:c r="B519" s="40"/>
      <x:c r="C519" s="37"/>
      <x:c r="D519" s="37"/>
      <x:c r="E519" s="37"/>
      <x:c r="F519" s="43"/>
      <x:c r="G519" s="43"/>
      <x:c r="H519" s="43"/>
      <x:c r="I519" s="55" t="str">
        <x:f>IF(OR(F519="",G519="",H519=""),"",F519&amp;" "&amp;UPPER(G519)&amp;"."&amp;LOWER(H519))</x:f>
      </x:c>
      <x:c r="J519" s="37"/>
      <x:c r="K519" s="37"/>
      <x:c r="L519" s="46"/>
      <x:c r="M519" s="43"/>
      <x:c r="N519" s="43"/>
      <x:c r="O519" s="43"/>
      <x:c r="P519" s="58" t="str">
        <x:f>IF(N519="","","Estantería "&amp;N519&amp;IF(O519="",""," - Balda "&amp;N519&amp;O519))</x:f>
      </x:c>
      <x:c r="Q519" s="37"/>
      <x:c r="R519" s="37"/>
      <x:c r="S519" s="49"/>
      <x:c r="T519" s="37"/>
      <x:c r="U519" s="37"/>
      <x:c r="V519" s="37"/>
      <x:c r="W519" s="34"/>
      <x:c r="X519" s="52"/>
      <x:c r="Y519" s="61" t="str">
        <x:f>IF(A519="","",IF(COUNTIF($A$6:$A$605,A519)&gt;1,"DUPLICADO","OK"))</x:f>
      </x:c>
      <x:c r="Z519" s="61" t="str">
        <x:f>IF(A519="","",IF(C519="","FALTA TÍTULO",IF(E519="","FALTA ÁREA",IF(W519&lt;&gt;"Sí","PENDIENTE","LISTO"))))</x:f>
      </x:c>
    </x:row>
    <x:row r="520">
      <x:c r="A520" s="40"/>
      <x:c r="B520" s="40"/>
      <x:c r="C520" s="37"/>
      <x:c r="D520" s="37"/>
      <x:c r="E520" s="37"/>
      <x:c r="F520" s="43"/>
      <x:c r="G520" s="43"/>
      <x:c r="H520" s="43"/>
      <x:c r="I520" s="55" t="str">
        <x:f>IF(OR(F520="",G520="",H520=""),"",F520&amp;" "&amp;UPPER(G520)&amp;"."&amp;LOWER(H520))</x:f>
      </x:c>
      <x:c r="J520" s="37"/>
      <x:c r="K520" s="37"/>
      <x:c r="L520" s="46"/>
      <x:c r="M520" s="43"/>
      <x:c r="N520" s="43"/>
      <x:c r="O520" s="43"/>
      <x:c r="P520" s="58" t="str">
        <x:f>IF(N520="","","Estantería "&amp;N520&amp;IF(O520="",""," - Balda "&amp;N520&amp;O520))</x:f>
      </x:c>
      <x:c r="Q520" s="37"/>
      <x:c r="R520" s="37"/>
      <x:c r="S520" s="49"/>
      <x:c r="T520" s="37"/>
      <x:c r="U520" s="37"/>
      <x:c r="V520" s="37"/>
      <x:c r="W520" s="34"/>
      <x:c r="X520" s="52"/>
      <x:c r="Y520" s="61" t="str">
        <x:f>IF(A520="","",IF(COUNTIF($A$6:$A$605,A520)&gt;1,"DUPLICADO","OK"))</x:f>
      </x:c>
      <x:c r="Z520" s="61" t="str">
        <x:f>IF(A520="","",IF(C520="","FALTA TÍTULO",IF(E520="","FALTA ÁREA",IF(W520&lt;&gt;"Sí","PENDIENTE","LISTO"))))</x:f>
      </x:c>
    </x:row>
    <x:row r="521">
      <x:c r="A521" s="40"/>
      <x:c r="B521" s="40"/>
      <x:c r="C521" s="37"/>
      <x:c r="D521" s="37"/>
      <x:c r="E521" s="37"/>
      <x:c r="F521" s="43"/>
      <x:c r="G521" s="43"/>
      <x:c r="H521" s="43"/>
      <x:c r="I521" s="55" t="str">
        <x:f>IF(OR(F521="",G521="",H521=""),"",F521&amp;" "&amp;UPPER(G521)&amp;"."&amp;LOWER(H521))</x:f>
      </x:c>
      <x:c r="J521" s="37"/>
      <x:c r="K521" s="37"/>
      <x:c r="L521" s="46"/>
      <x:c r="M521" s="43"/>
      <x:c r="N521" s="43"/>
      <x:c r="O521" s="43"/>
      <x:c r="P521" s="58" t="str">
        <x:f>IF(N521="","","Estantería "&amp;N521&amp;IF(O521="",""," - Balda "&amp;N521&amp;O521))</x:f>
      </x:c>
      <x:c r="Q521" s="37"/>
      <x:c r="R521" s="37"/>
      <x:c r="S521" s="49"/>
      <x:c r="T521" s="37"/>
      <x:c r="U521" s="37"/>
      <x:c r="V521" s="37"/>
      <x:c r="W521" s="34"/>
      <x:c r="X521" s="52"/>
      <x:c r="Y521" s="61" t="str">
        <x:f>IF(A521="","",IF(COUNTIF($A$6:$A$605,A521)&gt;1,"DUPLICADO","OK"))</x:f>
      </x:c>
      <x:c r="Z521" s="61" t="str">
        <x:f>IF(A521="","",IF(C521="","FALTA TÍTULO",IF(E521="","FALTA ÁREA",IF(W521&lt;&gt;"Sí","PENDIENTE","LISTO"))))</x:f>
      </x:c>
    </x:row>
    <x:row r="522">
      <x:c r="A522" s="40"/>
      <x:c r="B522" s="40"/>
      <x:c r="C522" s="37"/>
      <x:c r="D522" s="37"/>
      <x:c r="E522" s="37"/>
      <x:c r="F522" s="43"/>
      <x:c r="G522" s="43"/>
      <x:c r="H522" s="43"/>
      <x:c r="I522" s="55" t="str">
        <x:f>IF(OR(F522="",G522="",H522=""),"",F522&amp;" "&amp;UPPER(G522)&amp;"."&amp;LOWER(H522))</x:f>
      </x:c>
      <x:c r="J522" s="37"/>
      <x:c r="K522" s="37"/>
      <x:c r="L522" s="46"/>
      <x:c r="M522" s="43"/>
      <x:c r="N522" s="43"/>
      <x:c r="O522" s="43"/>
      <x:c r="P522" s="58" t="str">
        <x:f>IF(N522="","","Estantería "&amp;N522&amp;IF(O522="",""," - Balda "&amp;N522&amp;O522))</x:f>
      </x:c>
      <x:c r="Q522" s="37"/>
      <x:c r="R522" s="37"/>
      <x:c r="S522" s="49"/>
      <x:c r="T522" s="37"/>
      <x:c r="U522" s="37"/>
      <x:c r="V522" s="37"/>
      <x:c r="W522" s="34"/>
      <x:c r="X522" s="52"/>
      <x:c r="Y522" s="61" t="str">
        <x:f>IF(A522="","",IF(COUNTIF($A$6:$A$605,A522)&gt;1,"DUPLICADO","OK"))</x:f>
      </x:c>
      <x:c r="Z522" s="61" t="str">
        <x:f>IF(A522="","",IF(C522="","FALTA TÍTULO",IF(E522="","FALTA ÁREA",IF(W522&lt;&gt;"Sí","PENDIENTE","LISTO"))))</x:f>
      </x:c>
    </x:row>
    <x:row r="523">
      <x:c r="A523" s="40"/>
      <x:c r="B523" s="40"/>
      <x:c r="C523" s="37"/>
      <x:c r="D523" s="37"/>
      <x:c r="E523" s="37"/>
      <x:c r="F523" s="43"/>
      <x:c r="G523" s="43"/>
      <x:c r="H523" s="43"/>
      <x:c r="I523" s="55" t="str">
        <x:f>IF(OR(F523="",G523="",H523=""),"",F523&amp;" "&amp;UPPER(G523)&amp;"."&amp;LOWER(H523))</x:f>
      </x:c>
      <x:c r="J523" s="37"/>
      <x:c r="K523" s="37"/>
      <x:c r="L523" s="46"/>
      <x:c r="M523" s="43"/>
      <x:c r="N523" s="43"/>
      <x:c r="O523" s="43"/>
      <x:c r="P523" s="58" t="str">
        <x:f>IF(N523="","","Estantería "&amp;N523&amp;IF(O523="",""," - Balda "&amp;N523&amp;O523))</x:f>
      </x:c>
      <x:c r="Q523" s="37"/>
      <x:c r="R523" s="37"/>
      <x:c r="S523" s="49"/>
      <x:c r="T523" s="37"/>
      <x:c r="U523" s="37"/>
      <x:c r="V523" s="37"/>
      <x:c r="W523" s="34"/>
      <x:c r="X523" s="52"/>
      <x:c r="Y523" s="61" t="str">
        <x:f>IF(A523="","",IF(COUNTIF($A$6:$A$605,A523)&gt;1,"DUPLICADO","OK"))</x:f>
      </x:c>
      <x:c r="Z523" s="61" t="str">
        <x:f>IF(A523="","",IF(C523="","FALTA TÍTULO",IF(E523="","FALTA ÁREA",IF(W523&lt;&gt;"Sí","PENDIENTE","LISTO"))))</x:f>
      </x:c>
    </x:row>
    <x:row r="524">
      <x:c r="A524" s="40"/>
      <x:c r="B524" s="40"/>
      <x:c r="C524" s="37"/>
      <x:c r="D524" s="37"/>
      <x:c r="E524" s="37"/>
      <x:c r="F524" s="43"/>
      <x:c r="G524" s="43"/>
      <x:c r="H524" s="43"/>
      <x:c r="I524" s="55" t="str">
        <x:f>IF(OR(F524="",G524="",H524=""),"",F524&amp;" "&amp;UPPER(G524)&amp;"."&amp;LOWER(H524))</x:f>
      </x:c>
      <x:c r="J524" s="37"/>
      <x:c r="K524" s="37"/>
      <x:c r="L524" s="46"/>
      <x:c r="M524" s="43"/>
      <x:c r="N524" s="43"/>
      <x:c r="O524" s="43"/>
      <x:c r="P524" s="58" t="str">
        <x:f>IF(N524="","","Estantería "&amp;N524&amp;IF(O524="",""," - Balda "&amp;N524&amp;O524))</x:f>
      </x:c>
      <x:c r="Q524" s="37"/>
      <x:c r="R524" s="37"/>
      <x:c r="S524" s="49"/>
      <x:c r="T524" s="37"/>
      <x:c r="U524" s="37"/>
      <x:c r="V524" s="37"/>
      <x:c r="W524" s="34"/>
      <x:c r="X524" s="52"/>
      <x:c r="Y524" s="61" t="str">
        <x:f>IF(A524="","",IF(COUNTIF($A$6:$A$605,A524)&gt;1,"DUPLICADO","OK"))</x:f>
      </x:c>
      <x:c r="Z524" s="61" t="str">
        <x:f>IF(A524="","",IF(C524="","FALTA TÍTULO",IF(E524="","FALTA ÁREA",IF(W524&lt;&gt;"Sí","PENDIENTE","LISTO"))))</x:f>
      </x:c>
    </x:row>
    <x:row r="525">
      <x:c r="A525" s="40"/>
      <x:c r="B525" s="40"/>
      <x:c r="C525" s="37"/>
      <x:c r="D525" s="37"/>
      <x:c r="E525" s="37"/>
      <x:c r="F525" s="43"/>
      <x:c r="G525" s="43"/>
      <x:c r="H525" s="43"/>
      <x:c r="I525" s="55" t="str">
        <x:f>IF(OR(F525="",G525="",H525=""),"",F525&amp;" "&amp;UPPER(G525)&amp;"."&amp;LOWER(H525))</x:f>
      </x:c>
      <x:c r="J525" s="37"/>
      <x:c r="K525" s="37"/>
      <x:c r="L525" s="46"/>
      <x:c r="M525" s="43"/>
      <x:c r="N525" s="43"/>
      <x:c r="O525" s="43"/>
      <x:c r="P525" s="58" t="str">
        <x:f>IF(N525="","","Estantería "&amp;N525&amp;IF(O525="",""," - Balda "&amp;N525&amp;O525))</x:f>
      </x:c>
      <x:c r="Q525" s="37"/>
      <x:c r="R525" s="37"/>
      <x:c r="S525" s="49"/>
      <x:c r="T525" s="37"/>
      <x:c r="U525" s="37"/>
      <x:c r="V525" s="37"/>
      <x:c r="W525" s="34"/>
      <x:c r="X525" s="52"/>
      <x:c r="Y525" s="61" t="str">
        <x:f>IF(A525="","",IF(COUNTIF($A$6:$A$605,A525)&gt;1,"DUPLICADO","OK"))</x:f>
      </x:c>
      <x:c r="Z525" s="61" t="str">
        <x:f>IF(A525="","",IF(C525="","FALTA TÍTULO",IF(E525="","FALTA ÁREA",IF(W525&lt;&gt;"Sí","PENDIENTE","LISTO"))))</x:f>
      </x:c>
    </x:row>
    <x:row r="526">
      <x:c r="A526" s="40"/>
      <x:c r="B526" s="40"/>
      <x:c r="C526" s="37"/>
      <x:c r="D526" s="37"/>
      <x:c r="E526" s="37"/>
      <x:c r="F526" s="43"/>
      <x:c r="G526" s="43"/>
      <x:c r="H526" s="43"/>
      <x:c r="I526" s="55" t="str">
        <x:f>IF(OR(F526="",G526="",H526=""),"",F526&amp;" "&amp;UPPER(G526)&amp;"."&amp;LOWER(H526))</x:f>
      </x:c>
      <x:c r="J526" s="37"/>
      <x:c r="K526" s="37"/>
      <x:c r="L526" s="46"/>
      <x:c r="M526" s="43"/>
      <x:c r="N526" s="43"/>
      <x:c r="O526" s="43"/>
      <x:c r="P526" s="58" t="str">
        <x:f>IF(N526="","","Estantería "&amp;N526&amp;IF(O526="",""," - Balda "&amp;N526&amp;O526))</x:f>
      </x:c>
      <x:c r="Q526" s="37"/>
      <x:c r="R526" s="37"/>
      <x:c r="S526" s="49"/>
      <x:c r="T526" s="37"/>
      <x:c r="U526" s="37"/>
      <x:c r="V526" s="37"/>
      <x:c r="W526" s="34"/>
      <x:c r="X526" s="52"/>
      <x:c r="Y526" s="61" t="str">
        <x:f>IF(A526="","",IF(COUNTIF($A$6:$A$605,A526)&gt;1,"DUPLICADO","OK"))</x:f>
      </x:c>
      <x:c r="Z526" s="61" t="str">
        <x:f>IF(A526="","",IF(C526="","FALTA TÍTULO",IF(E526="","FALTA ÁREA",IF(W526&lt;&gt;"Sí","PENDIENTE","LISTO"))))</x:f>
      </x:c>
    </x:row>
    <x:row r="527">
      <x:c r="A527" s="40"/>
      <x:c r="B527" s="40"/>
      <x:c r="C527" s="37"/>
      <x:c r="D527" s="37"/>
      <x:c r="E527" s="37"/>
      <x:c r="F527" s="43"/>
      <x:c r="G527" s="43"/>
      <x:c r="H527" s="43"/>
      <x:c r="I527" s="55" t="str">
        <x:f>IF(OR(F527="",G527="",H527=""),"",F527&amp;" "&amp;UPPER(G527)&amp;"."&amp;LOWER(H527))</x:f>
      </x:c>
      <x:c r="J527" s="37"/>
      <x:c r="K527" s="37"/>
      <x:c r="L527" s="46"/>
      <x:c r="M527" s="43"/>
      <x:c r="N527" s="43"/>
      <x:c r="O527" s="43"/>
      <x:c r="P527" s="58" t="str">
        <x:f>IF(N527="","","Estantería "&amp;N527&amp;IF(O527="",""," - Balda "&amp;N527&amp;O527))</x:f>
      </x:c>
      <x:c r="Q527" s="37"/>
      <x:c r="R527" s="37"/>
      <x:c r="S527" s="49"/>
      <x:c r="T527" s="37"/>
      <x:c r="U527" s="37"/>
      <x:c r="V527" s="37"/>
      <x:c r="W527" s="34"/>
      <x:c r="X527" s="52"/>
      <x:c r="Y527" s="61" t="str">
        <x:f>IF(A527="","",IF(COUNTIF($A$6:$A$605,A527)&gt;1,"DUPLICADO","OK"))</x:f>
      </x:c>
      <x:c r="Z527" s="61" t="str">
        <x:f>IF(A527="","",IF(C527="","FALTA TÍTULO",IF(E527="","FALTA ÁREA",IF(W527&lt;&gt;"Sí","PENDIENTE","LISTO"))))</x:f>
      </x:c>
    </x:row>
    <x:row r="528">
      <x:c r="A528" s="40"/>
      <x:c r="B528" s="40"/>
      <x:c r="C528" s="37"/>
      <x:c r="D528" s="37"/>
      <x:c r="E528" s="37"/>
      <x:c r="F528" s="43"/>
      <x:c r="G528" s="43"/>
      <x:c r="H528" s="43"/>
      <x:c r="I528" s="55" t="str">
        <x:f>IF(OR(F528="",G528="",H528=""),"",F528&amp;" "&amp;UPPER(G528)&amp;"."&amp;LOWER(H528))</x:f>
      </x:c>
      <x:c r="J528" s="37"/>
      <x:c r="K528" s="37"/>
      <x:c r="L528" s="46"/>
      <x:c r="M528" s="43"/>
      <x:c r="N528" s="43"/>
      <x:c r="O528" s="43"/>
      <x:c r="P528" s="58" t="str">
        <x:f>IF(N528="","","Estantería "&amp;N528&amp;IF(O528="",""," - Balda "&amp;N528&amp;O528))</x:f>
      </x:c>
      <x:c r="Q528" s="37"/>
      <x:c r="R528" s="37"/>
      <x:c r="S528" s="49"/>
      <x:c r="T528" s="37"/>
      <x:c r="U528" s="37"/>
      <x:c r="V528" s="37"/>
      <x:c r="W528" s="34"/>
      <x:c r="X528" s="52"/>
      <x:c r="Y528" s="61" t="str">
        <x:f>IF(A528="","",IF(COUNTIF($A$6:$A$605,A528)&gt;1,"DUPLICADO","OK"))</x:f>
      </x:c>
      <x:c r="Z528" s="61" t="str">
        <x:f>IF(A528="","",IF(C528="","FALTA TÍTULO",IF(E528="","FALTA ÁREA",IF(W528&lt;&gt;"Sí","PENDIENTE","LISTO"))))</x:f>
      </x:c>
    </x:row>
    <x:row r="529">
      <x:c r="A529" s="40"/>
      <x:c r="B529" s="40"/>
      <x:c r="C529" s="37"/>
      <x:c r="D529" s="37"/>
      <x:c r="E529" s="37"/>
      <x:c r="F529" s="43"/>
      <x:c r="G529" s="43"/>
      <x:c r="H529" s="43"/>
      <x:c r="I529" s="55" t="str">
        <x:f>IF(OR(F529="",G529="",H529=""),"",F529&amp;" "&amp;UPPER(G529)&amp;"."&amp;LOWER(H529))</x:f>
      </x:c>
      <x:c r="J529" s="37"/>
      <x:c r="K529" s="37"/>
      <x:c r="L529" s="46"/>
      <x:c r="M529" s="43"/>
      <x:c r="N529" s="43"/>
      <x:c r="O529" s="43"/>
      <x:c r="P529" s="58" t="str">
        <x:f>IF(N529="","","Estantería "&amp;N529&amp;IF(O529="",""," - Balda "&amp;N529&amp;O529))</x:f>
      </x:c>
      <x:c r="Q529" s="37"/>
      <x:c r="R529" s="37"/>
      <x:c r="S529" s="49"/>
      <x:c r="T529" s="37"/>
      <x:c r="U529" s="37"/>
      <x:c r="V529" s="37"/>
      <x:c r="W529" s="34"/>
      <x:c r="X529" s="52"/>
      <x:c r="Y529" s="61" t="str">
        <x:f>IF(A529="","",IF(COUNTIF($A$6:$A$605,A529)&gt;1,"DUPLICADO","OK"))</x:f>
      </x:c>
      <x:c r="Z529" s="61" t="str">
        <x:f>IF(A529="","",IF(C529="","FALTA TÍTULO",IF(E529="","FALTA ÁREA",IF(W529&lt;&gt;"Sí","PENDIENTE","LISTO"))))</x:f>
      </x:c>
    </x:row>
    <x:row r="530">
      <x:c r="A530" s="40"/>
      <x:c r="B530" s="40"/>
      <x:c r="C530" s="37"/>
      <x:c r="D530" s="37"/>
      <x:c r="E530" s="37"/>
      <x:c r="F530" s="43"/>
      <x:c r="G530" s="43"/>
      <x:c r="H530" s="43"/>
      <x:c r="I530" s="55" t="str">
        <x:f>IF(OR(F530="",G530="",H530=""),"",F530&amp;" "&amp;UPPER(G530)&amp;"."&amp;LOWER(H530))</x:f>
      </x:c>
      <x:c r="J530" s="37"/>
      <x:c r="K530" s="37"/>
      <x:c r="L530" s="46"/>
      <x:c r="M530" s="43"/>
      <x:c r="N530" s="43"/>
      <x:c r="O530" s="43"/>
      <x:c r="P530" s="58" t="str">
        <x:f>IF(N530="","","Estantería "&amp;N530&amp;IF(O530="",""," - Balda "&amp;N530&amp;O530))</x:f>
      </x:c>
      <x:c r="Q530" s="37"/>
      <x:c r="R530" s="37"/>
      <x:c r="S530" s="49"/>
      <x:c r="T530" s="37"/>
      <x:c r="U530" s="37"/>
      <x:c r="V530" s="37"/>
      <x:c r="W530" s="34"/>
      <x:c r="X530" s="52"/>
      <x:c r="Y530" s="61" t="str">
        <x:f>IF(A530="","",IF(COUNTIF($A$6:$A$605,A530)&gt;1,"DUPLICADO","OK"))</x:f>
      </x:c>
      <x:c r="Z530" s="61" t="str">
        <x:f>IF(A530="","",IF(C530="","FALTA TÍTULO",IF(E530="","FALTA ÁREA",IF(W530&lt;&gt;"Sí","PENDIENTE","LISTO"))))</x:f>
      </x:c>
    </x:row>
    <x:row r="531">
      <x:c r="A531" s="40"/>
      <x:c r="B531" s="40"/>
      <x:c r="C531" s="37"/>
      <x:c r="D531" s="37"/>
      <x:c r="E531" s="37"/>
      <x:c r="F531" s="43"/>
      <x:c r="G531" s="43"/>
      <x:c r="H531" s="43"/>
      <x:c r="I531" s="55" t="str">
        <x:f>IF(OR(F531="",G531="",H531=""),"",F531&amp;" "&amp;UPPER(G531)&amp;"."&amp;LOWER(H531))</x:f>
      </x:c>
      <x:c r="J531" s="37"/>
      <x:c r="K531" s="37"/>
      <x:c r="L531" s="46"/>
      <x:c r="M531" s="43"/>
      <x:c r="N531" s="43"/>
      <x:c r="O531" s="43"/>
      <x:c r="P531" s="58" t="str">
        <x:f>IF(N531="","","Estantería "&amp;N531&amp;IF(O531="",""," - Balda "&amp;N531&amp;O531))</x:f>
      </x:c>
      <x:c r="Q531" s="37"/>
      <x:c r="R531" s="37"/>
      <x:c r="S531" s="49"/>
      <x:c r="T531" s="37"/>
      <x:c r="U531" s="37"/>
      <x:c r="V531" s="37"/>
      <x:c r="W531" s="34"/>
      <x:c r="X531" s="52"/>
      <x:c r="Y531" s="61" t="str">
        <x:f>IF(A531="","",IF(COUNTIF($A$6:$A$605,A531)&gt;1,"DUPLICADO","OK"))</x:f>
      </x:c>
      <x:c r="Z531" s="61" t="str">
        <x:f>IF(A531="","",IF(C531="","FALTA TÍTULO",IF(E531="","FALTA ÁREA",IF(W531&lt;&gt;"Sí","PENDIENTE","LISTO"))))</x:f>
      </x:c>
    </x:row>
    <x:row r="532">
      <x:c r="A532" s="40"/>
      <x:c r="B532" s="40"/>
      <x:c r="C532" s="37"/>
      <x:c r="D532" s="37"/>
      <x:c r="E532" s="37"/>
      <x:c r="F532" s="43"/>
      <x:c r="G532" s="43"/>
      <x:c r="H532" s="43"/>
      <x:c r="I532" s="55" t="str">
        <x:f>IF(OR(F532="",G532="",H532=""),"",F532&amp;" "&amp;UPPER(G532)&amp;"."&amp;LOWER(H532))</x:f>
      </x:c>
      <x:c r="J532" s="37"/>
      <x:c r="K532" s="37"/>
      <x:c r="L532" s="46"/>
      <x:c r="M532" s="43"/>
      <x:c r="N532" s="43"/>
      <x:c r="O532" s="43"/>
      <x:c r="P532" s="58" t="str">
        <x:f>IF(N532="","","Estantería "&amp;N532&amp;IF(O532="",""," - Balda "&amp;N532&amp;O532))</x:f>
      </x:c>
      <x:c r="Q532" s="37"/>
      <x:c r="R532" s="37"/>
      <x:c r="S532" s="49"/>
      <x:c r="T532" s="37"/>
      <x:c r="U532" s="37"/>
      <x:c r="V532" s="37"/>
      <x:c r="W532" s="34"/>
      <x:c r="X532" s="52"/>
      <x:c r="Y532" s="61" t="str">
        <x:f>IF(A532="","",IF(COUNTIF($A$6:$A$605,A532)&gt;1,"DUPLICADO","OK"))</x:f>
      </x:c>
      <x:c r="Z532" s="61" t="str">
        <x:f>IF(A532="","",IF(C532="","FALTA TÍTULO",IF(E532="","FALTA ÁREA",IF(W532&lt;&gt;"Sí","PENDIENTE","LISTO"))))</x:f>
      </x:c>
    </x:row>
    <x:row r="533">
      <x:c r="A533" s="40"/>
      <x:c r="B533" s="40"/>
      <x:c r="C533" s="37"/>
      <x:c r="D533" s="37"/>
      <x:c r="E533" s="37"/>
      <x:c r="F533" s="43"/>
      <x:c r="G533" s="43"/>
      <x:c r="H533" s="43"/>
      <x:c r="I533" s="55" t="str">
        <x:f>IF(OR(F533="",G533="",H533=""),"",F533&amp;" "&amp;UPPER(G533)&amp;"."&amp;LOWER(H533))</x:f>
      </x:c>
      <x:c r="J533" s="37"/>
      <x:c r="K533" s="37"/>
      <x:c r="L533" s="46"/>
      <x:c r="M533" s="43"/>
      <x:c r="N533" s="43"/>
      <x:c r="O533" s="43"/>
      <x:c r="P533" s="58" t="str">
        <x:f>IF(N533="","","Estantería "&amp;N533&amp;IF(O533="",""," - Balda "&amp;N533&amp;O533))</x:f>
      </x:c>
      <x:c r="Q533" s="37"/>
      <x:c r="R533" s="37"/>
      <x:c r="S533" s="49"/>
      <x:c r="T533" s="37"/>
      <x:c r="U533" s="37"/>
      <x:c r="V533" s="37"/>
      <x:c r="W533" s="34"/>
      <x:c r="X533" s="52"/>
      <x:c r="Y533" s="61" t="str">
        <x:f>IF(A533="","",IF(COUNTIF($A$6:$A$605,A533)&gt;1,"DUPLICADO","OK"))</x:f>
      </x:c>
      <x:c r="Z533" s="61" t="str">
        <x:f>IF(A533="","",IF(C533="","FALTA TÍTULO",IF(E533="","FALTA ÁREA",IF(W533&lt;&gt;"Sí","PENDIENTE","LISTO"))))</x:f>
      </x:c>
    </x:row>
    <x:row r="534">
      <x:c r="A534" s="40"/>
      <x:c r="B534" s="40"/>
      <x:c r="C534" s="37"/>
      <x:c r="D534" s="37"/>
      <x:c r="E534" s="37"/>
      <x:c r="F534" s="43"/>
      <x:c r="G534" s="43"/>
      <x:c r="H534" s="43"/>
      <x:c r="I534" s="55" t="str">
        <x:f>IF(OR(F534="",G534="",H534=""),"",F534&amp;" "&amp;UPPER(G534)&amp;"."&amp;LOWER(H534))</x:f>
      </x:c>
      <x:c r="J534" s="37"/>
      <x:c r="K534" s="37"/>
      <x:c r="L534" s="46"/>
      <x:c r="M534" s="43"/>
      <x:c r="N534" s="43"/>
      <x:c r="O534" s="43"/>
      <x:c r="P534" s="58" t="str">
        <x:f>IF(N534="","","Estantería "&amp;N534&amp;IF(O534="",""," - Balda "&amp;N534&amp;O534))</x:f>
      </x:c>
      <x:c r="Q534" s="37"/>
      <x:c r="R534" s="37"/>
      <x:c r="S534" s="49"/>
      <x:c r="T534" s="37"/>
      <x:c r="U534" s="37"/>
      <x:c r="V534" s="37"/>
      <x:c r="W534" s="34"/>
      <x:c r="X534" s="52"/>
      <x:c r="Y534" s="61" t="str">
        <x:f>IF(A534="","",IF(COUNTIF($A$6:$A$605,A534)&gt;1,"DUPLICADO","OK"))</x:f>
      </x:c>
      <x:c r="Z534" s="61" t="str">
        <x:f>IF(A534="","",IF(C534="","FALTA TÍTULO",IF(E534="","FALTA ÁREA",IF(W534&lt;&gt;"Sí","PENDIENTE","LISTO"))))</x:f>
      </x:c>
    </x:row>
    <x:row r="535">
      <x:c r="A535" s="40"/>
      <x:c r="B535" s="40"/>
      <x:c r="C535" s="37"/>
      <x:c r="D535" s="37"/>
      <x:c r="E535" s="37"/>
      <x:c r="F535" s="43"/>
      <x:c r="G535" s="43"/>
      <x:c r="H535" s="43"/>
      <x:c r="I535" s="55" t="str">
        <x:f>IF(OR(F535="",G535="",H535=""),"",F535&amp;" "&amp;UPPER(G535)&amp;"."&amp;LOWER(H535))</x:f>
      </x:c>
      <x:c r="J535" s="37"/>
      <x:c r="K535" s="37"/>
      <x:c r="L535" s="46"/>
      <x:c r="M535" s="43"/>
      <x:c r="N535" s="43"/>
      <x:c r="O535" s="43"/>
      <x:c r="P535" s="58" t="str">
        <x:f>IF(N535="","","Estantería "&amp;N535&amp;IF(O535="",""," - Balda "&amp;N535&amp;O535))</x:f>
      </x:c>
      <x:c r="Q535" s="37"/>
      <x:c r="R535" s="37"/>
      <x:c r="S535" s="49"/>
      <x:c r="T535" s="37"/>
      <x:c r="U535" s="37"/>
      <x:c r="V535" s="37"/>
      <x:c r="W535" s="34"/>
      <x:c r="X535" s="52"/>
      <x:c r="Y535" s="61" t="str">
        <x:f>IF(A535="","",IF(COUNTIF($A$6:$A$605,A535)&gt;1,"DUPLICADO","OK"))</x:f>
      </x:c>
      <x:c r="Z535" s="61" t="str">
        <x:f>IF(A535="","",IF(C535="","FALTA TÍTULO",IF(E535="","FALTA ÁREA",IF(W535&lt;&gt;"Sí","PENDIENTE","LISTO"))))</x:f>
      </x:c>
    </x:row>
    <x:row r="536">
      <x:c r="A536" s="40"/>
      <x:c r="B536" s="40"/>
      <x:c r="C536" s="37"/>
      <x:c r="D536" s="37"/>
      <x:c r="E536" s="37"/>
      <x:c r="F536" s="43"/>
      <x:c r="G536" s="43"/>
      <x:c r="H536" s="43"/>
      <x:c r="I536" s="55" t="str">
        <x:f>IF(OR(F536="",G536="",H536=""),"",F536&amp;" "&amp;UPPER(G536)&amp;"."&amp;LOWER(H536))</x:f>
      </x:c>
      <x:c r="J536" s="37"/>
      <x:c r="K536" s="37"/>
      <x:c r="L536" s="46"/>
      <x:c r="M536" s="43"/>
      <x:c r="N536" s="43"/>
      <x:c r="O536" s="43"/>
      <x:c r="P536" s="58" t="str">
        <x:f>IF(N536="","","Estantería "&amp;N536&amp;IF(O536="",""," - Balda "&amp;N536&amp;O536))</x:f>
      </x:c>
      <x:c r="Q536" s="37"/>
      <x:c r="R536" s="37"/>
      <x:c r="S536" s="49"/>
      <x:c r="T536" s="37"/>
      <x:c r="U536" s="37"/>
      <x:c r="V536" s="37"/>
      <x:c r="W536" s="34"/>
      <x:c r="X536" s="52"/>
      <x:c r="Y536" s="61" t="str">
        <x:f>IF(A536="","",IF(COUNTIF($A$6:$A$605,A536)&gt;1,"DUPLICADO","OK"))</x:f>
      </x:c>
      <x:c r="Z536" s="61" t="str">
        <x:f>IF(A536="","",IF(C536="","FALTA TÍTULO",IF(E536="","FALTA ÁREA",IF(W536&lt;&gt;"Sí","PENDIENTE","LISTO"))))</x:f>
      </x:c>
    </x:row>
    <x:row r="537">
      <x:c r="A537" s="40"/>
      <x:c r="B537" s="40"/>
      <x:c r="C537" s="37"/>
      <x:c r="D537" s="37"/>
      <x:c r="E537" s="37"/>
      <x:c r="F537" s="43"/>
      <x:c r="G537" s="43"/>
      <x:c r="H537" s="43"/>
      <x:c r="I537" s="55" t="str">
        <x:f>IF(OR(F537="",G537="",H537=""),"",F537&amp;" "&amp;UPPER(G537)&amp;"."&amp;LOWER(H537))</x:f>
      </x:c>
      <x:c r="J537" s="37"/>
      <x:c r="K537" s="37"/>
      <x:c r="L537" s="46"/>
      <x:c r="M537" s="43"/>
      <x:c r="N537" s="43"/>
      <x:c r="O537" s="43"/>
      <x:c r="P537" s="58" t="str">
        <x:f>IF(N537="","","Estantería "&amp;N537&amp;IF(O537="",""," - Balda "&amp;N537&amp;O537))</x:f>
      </x:c>
      <x:c r="Q537" s="37"/>
      <x:c r="R537" s="37"/>
      <x:c r="S537" s="49"/>
      <x:c r="T537" s="37"/>
      <x:c r="U537" s="37"/>
      <x:c r="V537" s="37"/>
      <x:c r="W537" s="34"/>
      <x:c r="X537" s="52"/>
      <x:c r="Y537" s="61" t="str">
        <x:f>IF(A537="","",IF(COUNTIF($A$6:$A$605,A537)&gt;1,"DUPLICADO","OK"))</x:f>
      </x:c>
      <x:c r="Z537" s="61" t="str">
        <x:f>IF(A537="","",IF(C537="","FALTA TÍTULO",IF(E537="","FALTA ÁREA",IF(W537&lt;&gt;"Sí","PENDIENTE","LISTO"))))</x:f>
      </x:c>
    </x:row>
    <x:row r="538">
      <x:c r="A538" s="40"/>
      <x:c r="B538" s="40"/>
      <x:c r="C538" s="37"/>
      <x:c r="D538" s="37"/>
      <x:c r="E538" s="37"/>
      <x:c r="F538" s="43"/>
      <x:c r="G538" s="43"/>
      <x:c r="H538" s="43"/>
      <x:c r="I538" s="55" t="str">
        <x:f>IF(OR(F538="",G538="",H538=""),"",F538&amp;" "&amp;UPPER(G538)&amp;"."&amp;LOWER(H538))</x:f>
      </x:c>
      <x:c r="J538" s="37"/>
      <x:c r="K538" s="37"/>
      <x:c r="L538" s="46"/>
      <x:c r="M538" s="43"/>
      <x:c r="N538" s="43"/>
      <x:c r="O538" s="43"/>
      <x:c r="P538" s="58" t="str">
        <x:f>IF(N538="","","Estantería "&amp;N538&amp;IF(O538="",""," - Balda "&amp;N538&amp;O538))</x:f>
      </x:c>
      <x:c r="Q538" s="37"/>
      <x:c r="R538" s="37"/>
      <x:c r="S538" s="49"/>
      <x:c r="T538" s="37"/>
      <x:c r="U538" s="37"/>
      <x:c r="V538" s="37"/>
      <x:c r="W538" s="34"/>
      <x:c r="X538" s="52"/>
      <x:c r="Y538" s="61" t="str">
        <x:f>IF(A538="","",IF(COUNTIF($A$6:$A$605,A538)&gt;1,"DUPLICADO","OK"))</x:f>
      </x:c>
      <x:c r="Z538" s="61" t="str">
        <x:f>IF(A538="","",IF(C538="","FALTA TÍTULO",IF(E538="","FALTA ÁREA",IF(W538&lt;&gt;"Sí","PENDIENTE","LISTO"))))</x:f>
      </x:c>
    </x:row>
    <x:row r="539">
      <x:c r="A539" s="40"/>
      <x:c r="B539" s="40"/>
      <x:c r="C539" s="37"/>
      <x:c r="D539" s="37"/>
      <x:c r="E539" s="37"/>
      <x:c r="F539" s="43"/>
      <x:c r="G539" s="43"/>
      <x:c r="H539" s="43"/>
      <x:c r="I539" s="55" t="str">
        <x:f>IF(OR(F539="",G539="",H539=""),"",F539&amp;" "&amp;UPPER(G539)&amp;"."&amp;LOWER(H539))</x:f>
      </x:c>
      <x:c r="J539" s="37"/>
      <x:c r="K539" s="37"/>
      <x:c r="L539" s="46"/>
      <x:c r="M539" s="43"/>
      <x:c r="N539" s="43"/>
      <x:c r="O539" s="43"/>
      <x:c r="P539" s="58" t="str">
        <x:f>IF(N539="","","Estantería "&amp;N539&amp;IF(O539="",""," - Balda "&amp;N539&amp;O539))</x:f>
      </x:c>
      <x:c r="Q539" s="37"/>
      <x:c r="R539" s="37"/>
      <x:c r="S539" s="49"/>
      <x:c r="T539" s="37"/>
      <x:c r="U539" s="37"/>
      <x:c r="V539" s="37"/>
      <x:c r="W539" s="34"/>
      <x:c r="X539" s="52"/>
      <x:c r="Y539" s="61" t="str">
        <x:f>IF(A539="","",IF(COUNTIF($A$6:$A$605,A539)&gt;1,"DUPLICADO","OK"))</x:f>
      </x:c>
      <x:c r="Z539" s="61" t="str">
        <x:f>IF(A539="","",IF(C539="","FALTA TÍTULO",IF(E539="","FALTA ÁREA",IF(W539&lt;&gt;"Sí","PENDIENTE","LISTO"))))</x:f>
      </x:c>
    </x:row>
    <x:row r="540">
      <x:c r="A540" s="40"/>
      <x:c r="B540" s="40"/>
      <x:c r="C540" s="37"/>
      <x:c r="D540" s="37"/>
      <x:c r="E540" s="37"/>
      <x:c r="F540" s="43"/>
      <x:c r="G540" s="43"/>
      <x:c r="H540" s="43"/>
      <x:c r="I540" s="55" t="str">
        <x:f>IF(OR(F540="",G540="",H540=""),"",F540&amp;" "&amp;UPPER(G540)&amp;"."&amp;LOWER(H540))</x:f>
      </x:c>
      <x:c r="J540" s="37"/>
      <x:c r="K540" s="37"/>
      <x:c r="L540" s="46"/>
      <x:c r="M540" s="43"/>
      <x:c r="N540" s="43"/>
      <x:c r="O540" s="43"/>
      <x:c r="P540" s="58" t="str">
        <x:f>IF(N540="","","Estantería "&amp;N540&amp;IF(O540="",""," - Balda "&amp;N540&amp;O540))</x:f>
      </x:c>
      <x:c r="Q540" s="37"/>
      <x:c r="R540" s="37"/>
      <x:c r="S540" s="49"/>
      <x:c r="T540" s="37"/>
      <x:c r="U540" s="37"/>
      <x:c r="V540" s="37"/>
      <x:c r="W540" s="34"/>
      <x:c r="X540" s="52"/>
      <x:c r="Y540" s="61" t="str">
        <x:f>IF(A540="","",IF(COUNTIF($A$6:$A$605,A540)&gt;1,"DUPLICADO","OK"))</x:f>
      </x:c>
      <x:c r="Z540" s="61" t="str">
        <x:f>IF(A540="","",IF(C540="","FALTA TÍTULO",IF(E540="","FALTA ÁREA",IF(W540&lt;&gt;"Sí","PENDIENTE","LISTO"))))</x:f>
      </x:c>
    </x:row>
    <x:row r="541">
      <x:c r="A541" s="40"/>
      <x:c r="B541" s="40"/>
      <x:c r="C541" s="37"/>
      <x:c r="D541" s="37"/>
      <x:c r="E541" s="37"/>
      <x:c r="F541" s="43"/>
      <x:c r="G541" s="43"/>
      <x:c r="H541" s="43"/>
      <x:c r="I541" s="55" t="str">
        <x:f>IF(OR(F541="",G541="",H541=""),"",F541&amp;" "&amp;UPPER(G541)&amp;"."&amp;LOWER(H541))</x:f>
      </x:c>
      <x:c r="J541" s="37"/>
      <x:c r="K541" s="37"/>
      <x:c r="L541" s="46"/>
      <x:c r="M541" s="43"/>
      <x:c r="N541" s="43"/>
      <x:c r="O541" s="43"/>
      <x:c r="P541" s="58" t="str">
        <x:f>IF(N541="","","Estantería "&amp;N541&amp;IF(O541="",""," - Balda "&amp;N541&amp;O541))</x:f>
      </x:c>
      <x:c r="Q541" s="37"/>
      <x:c r="R541" s="37"/>
      <x:c r="S541" s="49"/>
      <x:c r="T541" s="37"/>
      <x:c r="U541" s="37"/>
      <x:c r="V541" s="37"/>
      <x:c r="W541" s="34"/>
      <x:c r="X541" s="52"/>
      <x:c r="Y541" s="61" t="str">
        <x:f>IF(A541="","",IF(COUNTIF($A$6:$A$605,A541)&gt;1,"DUPLICADO","OK"))</x:f>
      </x:c>
      <x:c r="Z541" s="61" t="str">
        <x:f>IF(A541="","",IF(C541="","FALTA TÍTULO",IF(E541="","FALTA ÁREA",IF(W541&lt;&gt;"Sí","PENDIENTE","LISTO"))))</x:f>
      </x:c>
    </x:row>
    <x:row r="542">
      <x:c r="A542" s="40"/>
      <x:c r="B542" s="40"/>
      <x:c r="C542" s="37"/>
      <x:c r="D542" s="37"/>
      <x:c r="E542" s="37"/>
      <x:c r="F542" s="43"/>
      <x:c r="G542" s="43"/>
      <x:c r="H542" s="43"/>
      <x:c r="I542" s="55" t="str">
        <x:f>IF(OR(F542="",G542="",H542=""),"",F542&amp;" "&amp;UPPER(G542)&amp;"."&amp;LOWER(H542))</x:f>
      </x:c>
      <x:c r="J542" s="37"/>
      <x:c r="K542" s="37"/>
      <x:c r="L542" s="46"/>
      <x:c r="M542" s="43"/>
      <x:c r="N542" s="43"/>
      <x:c r="O542" s="43"/>
      <x:c r="P542" s="58" t="str">
        <x:f>IF(N542="","","Estantería "&amp;N542&amp;IF(O542="",""," - Balda "&amp;N542&amp;O542))</x:f>
      </x:c>
      <x:c r="Q542" s="37"/>
      <x:c r="R542" s="37"/>
      <x:c r="S542" s="49"/>
      <x:c r="T542" s="37"/>
      <x:c r="U542" s="37"/>
      <x:c r="V542" s="37"/>
      <x:c r="W542" s="34"/>
      <x:c r="X542" s="52"/>
      <x:c r="Y542" s="61" t="str">
        <x:f>IF(A542="","",IF(COUNTIF($A$6:$A$605,A542)&gt;1,"DUPLICADO","OK"))</x:f>
      </x:c>
      <x:c r="Z542" s="61" t="str">
        <x:f>IF(A542="","",IF(C542="","FALTA TÍTULO",IF(E542="","FALTA ÁREA",IF(W542&lt;&gt;"Sí","PENDIENTE","LISTO"))))</x:f>
      </x:c>
    </x:row>
    <x:row r="543">
      <x:c r="A543" s="40"/>
      <x:c r="B543" s="40"/>
      <x:c r="C543" s="37"/>
      <x:c r="D543" s="37"/>
      <x:c r="E543" s="37"/>
      <x:c r="F543" s="43"/>
      <x:c r="G543" s="43"/>
      <x:c r="H543" s="43"/>
      <x:c r="I543" s="55" t="str">
        <x:f>IF(OR(F543="",G543="",H543=""),"",F543&amp;" "&amp;UPPER(G543)&amp;"."&amp;LOWER(H543))</x:f>
      </x:c>
      <x:c r="J543" s="37"/>
      <x:c r="K543" s="37"/>
      <x:c r="L543" s="46"/>
      <x:c r="M543" s="43"/>
      <x:c r="N543" s="43"/>
      <x:c r="O543" s="43"/>
      <x:c r="P543" s="58" t="str">
        <x:f>IF(N543="","","Estantería "&amp;N543&amp;IF(O543="",""," - Balda "&amp;N543&amp;O543))</x:f>
      </x:c>
      <x:c r="Q543" s="37"/>
      <x:c r="R543" s="37"/>
      <x:c r="S543" s="49"/>
      <x:c r="T543" s="37"/>
      <x:c r="U543" s="37"/>
      <x:c r="V543" s="37"/>
      <x:c r="W543" s="34"/>
      <x:c r="X543" s="52"/>
      <x:c r="Y543" s="61" t="str">
        <x:f>IF(A543="","",IF(COUNTIF($A$6:$A$605,A543)&gt;1,"DUPLICADO","OK"))</x:f>
      </x:c>
      <x:c r="Z543" s="61" t="str">
        <x:f>IF(A543="","",IF(C543="","FALTA TÍTULO",IF(E543="","FALTA ÁREA",IF(W543&lt;&gt;"Sí","PENDIENTE","LISTO"))))</x:f>
      </x:c>
    </x:row>
    <x:row r="544">
      <x:c r="A544" s="40"/>
      <x:c r="B544" s="40"/>
      <x:c r="C544" s="37"/>
      <x:c r="D544" s="37"/>
      <x:c r="E544" s="37"/>
      <x:c r="F544" s="43"/>
      <x:c r="G544" s="43"/>
      <x:c r="H544" s="43"/>
      <x:c r="I544" s="55" t="str">
        <x:f>IF(OR(F544="",G544="",H544=""),"",F544&amp;" "&amp;UPPER(G544)&amp;"."&amp;LOWER(H544))</x:f>
      </x:c>
      <x:c r="J544" s="37"/>
      <x:c r="K544" s="37"/>
      <x:c r="L544" s="46"/>
      <x:c r="M544" s="43"/>
      <x:c r="N544" s="43"/>
      <x:c r="O544" s="43"/>
      <x:c r="P544" s="58" t="str">
        <x:f>IF(N544="","","Estantería "&amp;N544&amp;IF(O544="",""," - Balda "&amp;N544&amp;O544))</x:f>
      </x:c>
      <x:c r="Q544" s="37"/>
      <x:c r="R544" s="37"/>
      <x:c r="S544" s="49"/>
      <x:c r="T544" s="37"/>
      <x:c r="U544" s="37"/>
      <x:c r="V544" s="37"/>
      <x:c r="W544" s="34"/>
      <x:c r="X544" s="52"/>
      <x:c r="Y544" s="61" t="str">
        <x:f>IF(A544="","",IF(COUNTIF($A$6:$A$605,A544)&gt;1,"DUPLICADO","OK"))</x:f>
      </x:c>
      <x:c r="Z544" s="61" t="str">
        <x:f>IF(A544="","",IF(C544="","FALTA TÍTULO",IF(E544="","FALTA ÁREA",IF(W544&lt;&gt;"Sí","PENDIENTE","LISTO"))))</x:f>
      </x:c>
    </x:row>
    <x:row r="545">
      <x:c r="A545" s="40"/>
      <x:c r="B545" s="40"/>
      <x:c r="C545" s="37"/>
      <x:c r="D545" s="37"/>
      <x:c r="E545" s="37"/>
      <x:c r="F545" s="43"/>
      <x:c r="G545" s="43"/>
      <x:c r="H545" s="43"/>
      <x:c r="I545" s="55" t="str">
        <x:f>IF(OR(F545="",G545="",H545=""),"",F545&amp;" "&amp;UPPER(G545)&amp;"."&amp;LOWER(H545))</x:f>
      </x:c>
      <x:c r="J545" s="37"/>
      <x:c r="K545" s="37"/>
      <x:c r="L545" s="46"/>
      <x:c r="M545" s="43"/>
      <x:c r="N545" s="43"/>
      <x:c r="O545" s="43"/>
      <x:c r="P545" s="58" t="str">
        <x:f>IF(N545="","","Estantería "&amp;N545&amp;IF(O545="",""," - Balda "&amp;N545&amp;O545))</x:f>
      </x:c>
      <x:c r="Q545" s="37"/>
      <x:c r="R545" s="37"/>
      <x:c r="S545" s="49"/>
      <x:c r="T545" s="37"/>
      <x:c r="U545" s="37"/>
      <x:c r="V545" s="37"/>
      <x:c r="W545" s="34"/>
      <x:c r="X545" s="52"/>
      <x:c r="Y545" s="61" t="str">
        <x:f>IF(A545="","",IF(COUNTIF($A$6:$A$605,A545)&gt;1,"DUPLICADO","OK"))</x:f>
      </x:c>
      <x:c r="Z545" s="61" t="str">
        <x:f>IF(A545="","",IF(C545="","FALTA TÍTULO",IF(E545="","FALTA ÁREA",IF(W545&lt;&gt;"Sí","PENDIENTE","LISTO"))))</x:f>
      </x:c>
    </x:row>
    <x:row r="546">
      <x:c r="A546" s="40"/>
      <x:c r="B546" s="40"/>
      <x:c r="C546" s="37"/>
      <x:c r="D546" s="37"/>
      <x:c r="E546" s="37"/>
      <x:c r="F546" s="43"/>
      <x:c r="G546" s="43"/>
      <x:c r="H546" s="43"/>
      <x:c r="I546" s="55" t="str">
        <x:f>IF(OR(F546="",G546="",H546=""),"",F546&amp;" "&amp;UPPER(G546)&amp;"."&amp;LOWER(H546))</x:f>
      </x:c>
      <x:c r="J546" s="37"/>
      <x:c r="K546" s="37"/>
      <x:c r="L546" s="46"/>
      <x:c r="M546" s="43"/>
      <x:c r="N546" s="43"/>
      <x:c r="O546" s="43"/>
      <x:c r="P546" s="58" t="str">
        <x:f>IF(N546="","","Estantería "&amp;N546&amp;IF(O546="",""," - Balda "&amp;N546&amp;O546))</x:f>
      </x:c>
      <x:c r="Q546" s="37"/>
      <x:c r="R546" s="37"/>
      <x:c r="S546" s="49"/>
      <x:c r="T546" s="37"/>
      <x:c r="U546" s="37"/>
      <x:c r="V546" s="37"/>
      <x:c r="W546" s="34"/>
      <x:c r="X546" s="52"/>
      <x:c r="Y546" s="61" t="str">
        <x:f>IF(A546="","",IF(COUNTIF($A$6:$A$605,A546)&gt;1,"DUPLICADO","OK"))</x:f>
      </x:c>
      <x:c r="Z546" s="61" t="str">
        <x:f>IF(A546="","",IF(C546="","FALTA TÍTULO",IF(E546="","FALTA ÁREA",IF(W546&lt;&gt;"Sí","PENDIENTE","LISTO"))))</x:f>
      </x:c>
    </x:row>
    <x:row r="547">
      <x:c r="A547" s="40"/>
      <x:c r="B547" s="40"/>
      <x:c r="C547" s="37"/>
      <x:c r="D547" s="37"/>
      <x:c r="E547" s="37"/>
      <x:c r="F547" s="43"/>
      <x:c r="G547" s="43"/>
      <x:c r="H547" s="43"/>
      <x:c r="I547" s="55" t="str">
        <x:f>IF(OR(F547="",G547="",H547=""),"",F547&amp;" "&amp;UPPER(G547)&amp;"."&amp;LOWER(H547))</x:f>
      </x:c>
      <x:c r="J547" s="37"/>
      <x:c r="K547" s="37"/>
      <x:c r="L547" s="46"/>
      <x:c r="M547" s="43"/>
      <x:c r="N547" s="43"/>
      <x:c r="O547" s="43"/>
      <x:c r="P547" s="58" t="str">
        <x:f>IF(N547="","","Estantería "&amp;N547&amp;IF(O547="",""," - Balda "&amp;N547&amp;O547))</x:f>
      </x:c>
      <x:c r="Q547" s="37"/>
      <x:c r="R547" s="37"/>
      <x:c r="S547" s="49"/>
      <x:c r="T547" s="37"/>
      <x:c r="U547" s="37"/>
      <x:c r="V547" s="37"/>
      <x:c r="W547" s="34"/>
      <x:c r="X547" s="52"/>
      <x:c r="Y547" s="61" t="str">
        <x:f>IF(A547="","",IF(COUNTIF($A$6:$A$605,A547)&gt;1,"DUPLICADO","OK"))</x:f>
      </x:c>
      <x:c r="Z547" s="61" t="str">
        <x:f>IF(A547="","",IF(C547="","FALTA TÍTULO",IF(E547="","FALTA ÁREA",IF(W547&lt;&gt;"Sí","PENDIENTE","LISTO"))))</x:f>
      </x:c>
    </x:row>
    <x:row r="548">
      <x:c r="A548" s="40"/>
      <x:c r="B548" s="40"/>
      <x:c r="C548" s="37"/>
      <x:c r="D548" s="37"/>
      <x:c r="E548" s="37"/>
      <x:c r="F548" s="43"/>
      <x:c r="G548" s="43"/>
      <x:c r="H548" s="43"/>
      <x:c r="I548" s="55" t="str">
        <x:f>IF(OR(F548="",G548="",H548=""),"",F548&amp;" "&amp;UPPER(G548)&amp;"."&amp;LOWER(H548))</x:f>
      </x:c>
      <x:c r="J548" s="37"/>
      <x:c r="K548" s="37"/>
      <x:c r="L548" s="46"/>
      <x:c r="M548" s="43"/>
      <x:c r="N548" s="43"/>
      <x:c r="O548" s="43"/>
      <x:c r="P548" s="58" t="str">
        <x:f>IF(N548="","","Estantería "&amp;N548&amp;IF(O548="",""," - Balda "&amp;N548&amp;O548))</x:f>
      </x:c>
      <x:c r="Q548" s="37"/>
      <x:c r="R548" s="37"/>
      <x:c r="S548" s="49"/>
      <x:c r="T548" s="37"/>
      <x:c r="U548" s="37"/>
      <x:c r="V548" s="37"/>
      <x:c r="W548" s="34"/>
      <x:c r="X548" s="52"/>
      <x:c r="Y548" s="61" t="str">
        <x:f>IF(A548="","",IF(COUNTIF($A$6:$A$605,A548)&gt;1,"DUPLICADO","OK"))</x:f>
      </x:c>
      <x:c r="Z548" s="61" t="str">
        <x:f>IF(A548="","",IF(C548="","FALTA TÍTULO",IF(E548="","FALTA ÁREA",IF(W548&lt;&gt;"Sí","PENDIENTE","LISTO"))))</x:f>
      </x:c>
    </x:row>
    <x:row r="549">
      <x:c r="A549" s="40"/>
      <x:c r="B549" s="40"/>
      <x:c r="C549" s="37"/>
      <x:c r="D549" s="37"/>
      <x:c r="E549" s="37"/>
      <x:c r="F549" s="43"/>
      <x:c r="G549" s="43"/>
      <x:c r="H549" s="43"/>
      <x:c r="I549" s="55" t="str">
        <x:f>IF(OR(F549="",G549="",H549=""),"",F549&amp;" "&amp;UPPER(G549)&amp;"."&amp;LOWER(H549))</x:f>
      </x:c>
      <x:c r="J549" s="37"/>
      <x:c r="K549" s="37"/>
      <x:c r="L549" s="46"/>
      <x:c r="M549" s="43"/>
      <x:c r="N549" s="43"/>
      <x:c r="O549" s="43"/>
      <x:c r="P549" s="58" t="str">
        <x:f>IF(N549="","","Estantería "&amp;N549&amp;IF(O549="",""," - Balda "&amp;N549&amp;O549))</x:f>
      </x:c>
      <x:c r="Q549" s="37"/>
      <x:c r="R549" s="37"/>
      <x:c r="S549" s="49"/>
      <x:c r="T549" s="37"/>
      <x:c r="U549" s="37"/>
      <x:c r="V549" s="37"/>
      <x:c r="W549" s="34"/>
      <x:c r="X549" s="52"/>
      <x:c r="Y549" s="61" t="str">
        <x:f>IF(A549="","",IF(COUNTIF($A$6:$A$605,A549)&gt;1,"DUPLICADO","OK"))</x:f>
      </x:c>
      <x:c r="Z549" s="61" t="str">
        <x:f>IF(A549="","",IF(C549="","FALTA TÍTULO",IF(E549="","FALTA ÁREA",IF(W549&lt;&gt;"Sí","PENDIENTE","LISTO"))))</x:f>
      </x:c>
    </x:row>
    <x:row r="550">
      <x:c r="A550" s="40"/>
      <x:c r="B550" s="40"/>
      <x:c r="C550" s="37"/>
      <x:c r="D550" s="37"/>
      <x:c r="E550" s="37"/>
      <x:c r="F550" s="43"/>
      <x:c r="G550" s="43"/>
      <x:c r="H550" s="43"/>
      <x:c r="I550" s="55" t="str">
        <x:f>IF(OR(F550="",G550="",H550=""),"",F550&amp;" "&amp;UPPER(G550)&amp;"."&amp;LOWER(H550))</x:f>
      </x:c>
      <x:c r="J550" s="37"/>
      <x:c r="K550" s="37"/>
      <x:c r="L550" s="46"/>
      <x:c r="M550" s="43"/>
      <x:c r="N550" s="43"/>
      <x:c r="O550" s="43"/>
      <x:c r="P550" s="58" t="str">
        <x:f>IF(N550="","","Estantería "&amp;N550&amp;IF(O550="",""," - Balda "&amp;N550&amp;O550))</x:f>
      </x:c>
      <x:c r="Q550" s="37"/>
      <x:c r="R550" s="37"/>
      <x:c r="S550" s="49"/>
      <x:c r="T550" s="37"/>
      <x:c r="U550" s="37"/>
      <x:c r="V550" s="37"/>
      <x:c r="W550" s="34"/>
      <x:c r="X550" s="52"/>
      <x:c r="Y550" s="61" t="str">
        <x:f>IF(A550="","",IF(COUNTIF($A$6:$A$605,A550)&gt;1,"DUPLICADO","OK"))</x:f>
      </x:c>
      <x:c r="Z550" s="61" t="str">
        <x:f>IF(A550="","",IF(C550="","FALTA TÍTULO",IF(E550="","FALTA ÁREA",IF(W550&lt;&gt;"Sí","PENDIENTE","LISTO"))))</x:f>
      </x:c>
    </x:row>
    <x:row r="551">
      <x:c r="A551" s="40"/>
      <x:c r="B551" s="40"/>
      <x:c r="C551" s="37"/>
      <x:c r="D551" s="37"/>
      <x:c r="E551" s="37"/>
      <x:c r="F551" s="43"/>
      <x:c r="G551" s="43"/>
      <x:c r="H551" s="43"/>
      <x:c r="I551" s="55" t="str">
        <x:f>IF(OR(F551="",G551="",H551=""),"",F551&amp;" "&amp;UPPER(G551)&amp;"."&amp;LOWER(H551))</x:f>
      </x:c>
      <x:c r="J551" s="37"/>
      <x:c r="K551" s="37"/>
      <x:c r="L551" s="46"/>
      <x:c r="M551" s="43"/>
      <x:c r="N551" s="43"/>
      <x:c r="O551" s="43"/>
      <x:c r="P551" s="58" t="str">
        <x:f>IF(N551="","","Estantería "&amp;N551&amp;IF(O551="",""," - Balda "&amp;N551&amp;O551))</x:f>
      </x:c>
      <x:c r="Q551" s="37"/>
      <x:c r="R551" s="37"/>
      <x:c r="S551" s="49"/>
      <x:c r="T551" s="37"/>
      <x:c r="U551" s="37"/>
      <x:c r="V551" s="37"/>
      <x:c r="W551" s="34"/>
      <x:c r="X551" s="52"/>
      <x:c r="Y551" s="61" t="str">
        <x:f>IF(A551="","",IF(COUNTIF($A$6:$A$605,A551)&gt;1,"DUPLICADO","OK"))</x:f>
      </x:c>
      <x:c r="Z551" s="61" t="str">
        <x:f>IF(A551="","",IF(C551="","FALTA TÍTULO",IF(E551="","FALTA ÁREA",IF(W551&lt;&gt;"Sí","PENDIENTE","LISTO"))))</x:f>
      </x:c>
    </x:row>
    <x:row r="552">
      <x:c r="A552" s="40"/>
      <x:c r="B552" s="40"/>
      <x:c r="C552" s="37"/>
      <x:c r="D552" s="37"/>
      <x:c r="E552" s="37"/>
      <x:c r="F552" s="43"/>
      <x:c r="G552" s="43"/>
      <x:c r="H552" s="43"/>
      <x:c r="I552" s="55" t="str">
        <x:f>IF(OR(F552="",G552="",H552=""),"",F552&amp;" "&amp;UPPER(G552)&amp;"."&amp;LOWER(H552))</x:f>
      </x:c>
      <x:c r="J552" s="37"/>
      <x:c r="K552" s="37"/>
      <x:c r="L552" s="46"/>
      <x:c r="M552" s="43"/>
      <x:c r="N552" s="43"/>
      <x:c r="O552" s="43"/>
      <x:c r="P552" s="58" t="str">
        <x:f>IF(N552="","","Estantería "&amp;N552&amp;IF(O552="",""," - Balda "&amp;N552&amp;O552))</x:f>
      </x:c>
      <x:c r="Q552" s="37"/>
      <x:c r="R552" s="37"/>
      <x:c r="S552" s="49"/>
      <x:c r="T552" s="37"/>
      <x:c r="U552" s="37"/>
      <x:c r="V552" s="37"/>
      <x:c r="W552" s="34"/>
      <x:c r="X552" s="52"/>
      <x:c r="Y552" s="61" t="str">
        <x:f>IF(A552="","",IF(COUNTIF($A$6:$A$605,A552)&gt;1,"DUPLICADO","OK"))</x:f>
      </x:c>
      <x:c r="Z552" s="61" t="str">
        <x:f>IF(A552="","",IF(C552="","FALTA TÍTULO",IF(E552="","FALTA ÁREA",IF(W552&lt;&gt;"Sí","PENDIENTE","LISTO"))))</x:f>
      </x:c>
    </x:row>
    <x:row r="553">
      <x:c r="A553" s="40"/>
      <x:c r="B553" s="40"/>
      <x:c r="C553" s="37"/>
      <x:c r="D553" s="37"/>
      <x:c r="E553" s="37"/>
      <x:c r="F553" s="43"/>
      <x:c r="G553" s="43"/>
      <x:c r="H553" s="43"/>
      <x:c r="I553" s="55" t="str">
        <x:f>IF(OR(F553="",G553="",H553=""),"",F553&amp;" "&amp;UPPER(G553)&amp;"."&amp;LOWER(H553))</x:f>
      </x:c>
      <x:c r="J553" s="37"/>
      <x:c r="K553" s="37"/>
      <x:c r="L553" s="46"/>
      <x:c r="M553" s="43"/>
      <x:c r="N553" s="43"/>
      <x:c r="O553" s="43"/>
      <x:c r="P553" s="58" t="str">
        <x:f>IF(N553="","","Estantería "&amp;N553&amp;IF(O553="",""," - Balda "&amp;N553&amp;O553))</x:f>
      </x:c>
      <x:c r="Q553" s="37"/>
      <x:c r="R553" s="37"/>
      <x:c r="S553" s="49"/>
      <x:c r="T553" s="37"/>
      <x:c r="U553" s="37"/>
      <x:c r="V553" s="37"/>
      <x:c r="W553" s="34"/>
      <x:c r="X553" s="52"/>
      <x:c r="Y553" s="61" t="str">
        <x:f>IF(A553="","",IF(COUNTIF($A$6:$A$605,A553)&gt;1,"DUPLICADO","OK"))</x:f>
      </x:c>
      <x:c r="Z553" s="61" t="str">
        <x:f>IF(A553="","",IF(C553="","FALTA TÍTULO",IF(E553="","FALTA ÁREA",IF(W553&lt;&gt;"Sí","PENDIENTE","LISTO"))))</x:f>
      </x:c>
    </x:row>
    <x:row r="554">
      <x:c r="A554" s="40"/>
      <x:c r="B554" s="40"/>
      <x:c r="C554" s="37"/>
      <x:c r="D554" s="37"/>
      <x:c r="E554" s="37"/>
      <x:c r="F554" s="43"/>
      <x:c r="G554" s="43"/>
      <x:c r="H554" s="43"/>
      <x:c r="I554" s="55" t="str">
        <x:f>IF(OR(F554="",G554="",H554=""),"",F554&amp;" "&amp;UPPER(G554)&amp;"."&amp;LOWER(H554))</x:f>
      </x:c>
      <x:c r="J554" s="37"/>
      <x:c r="K554" s="37"/>
      <x:c r="L554" s="46"/>
      <x:c r="M554" s="43"/>
      <x:c r="N554" s="43"/>
      <x:c r="O554" s="43"/>
      <x:c r="P554" s="58" t="str">
        <x:f>IF(N554="","","Estantería "&amp;N554&amp;IF(O554="",""," - Balda "&amp;N554&amp;O554))</x:f>
      </x:c>
      <x:c r="Q554" s="37"/>
      <x:c r="R554" s="37"/>
      <x:c r="S554" s="49"/>
      <x:c r="T554" s="37"/>
      <x:c r="U554" s="37"/>
      <x:c r="V554" s="37"/>
      <x:c r="W554" s="34"/>
      <x:c r="X554" s="52"/>
      <x:c r="Y554" s="61" t="str">
        <x:f>IF(A554="","",IF(COUNTIF($A$6:$A$605,A554)&gt;1,"DUPLICADO","OK"))</x:f>
      </x:c>
      <x:c r="Z554" s="61" t="str">
        <x:f>IF(A554="","",IF(C554="","FALTA TÍTULO",IF(E554="","FALTA ÁREA",IF(W554&lt;&gt;"Sí","PENDIENTE","LISTO"))))</x:f>
      </x:c>
    </x:row>
    <x:row r="555">
      <x:c r="A555" s="40"/>
      <x:c r="B555" s="40"/>
      <x:c r="C555" s="37"/>
      <x:c r="D555" s="37"/>
      <x:c r="E555" s="37"/>
      <x:c r="F555" s="43"/>
      <x:c r="G555" s="43"/>
      <x:c r="H555" s="43"/>
      <x:c r="I555" s="55" t="str">
        <x:f>IF(OR(F555="",G555="",H555=""),"",F555&amp;" "&amp;UPPER(G555)&amp;"."&amp;LOWER(H555))</x:f>
      </x:c>
      <x:c r="J555" s="37"/>
      <x:c r="K555" s="37"/>
      <x:c r="L555" s="46"/>
      <x:c r="M555" s="43"/>
      <x:c r="N555" s="43"/>
      <x:c r="O555" s="43"/>
      <x:c r="P555" s="58" t="str">
        <x:f>IF(N555="","","Estantería "&amp;N555&amp;IF(O555="",""," - Balda "&amp;N555&amp;O555))</x:f>
      </x:c>
      <x:c r="Q555" s="37"/>
      <x:c r="R555" s="37"/>
      <x:c r="S555" s="49"/>
      <x:c r="T555" s="37"/>
      <x:c r="U555" s="37"/>
      <x:c r="V555" s="37"/>
      <x:c r="W555" s="34"/>
      <x:c r="X555" s="52"/>
      <x:c r="Y555" s="61" t="str">
        <x:f>IF(A555="","",IF(COUNTIF($A$6:$A$605,A555)&gt;1,"DUPLICADO","OK"))</x:f>
      </x:c>
      <x:c r="Z555" s="61" t="str">
        <x:f>IF(A555="","",IF(C555="","FALTA TÍTULO",IF(E555="","FALTA ÁREA",IF(W555&lt;&gt;"Sí","PENDIENTE","LISTO"))))</x:f>
      </x:c>
    </x:row>
    <x:row r="556">
      <x:c r="A556" s="40"/>
      <x:c r="B556" s="40"/>
      <x:c r="C556" s="37"/>
      <x:c r="D556" s="37"/>
      <x:c r="E556" s="37"/>
      <x:c r="F556" s="43"/>
      <x:c r="G556" s="43"/>
      <x:c r="H556" s="43"/>
      <x:c r="I556" s="55" t="str">
        <x:f>IF(OR(F556="",G556="",H556=""),"",F556&amp;" "&amp;UPPER(G556)&amp;"."&amp;LOWER(H556))</x:f>
      </x:c>
      <x:c r="J556" s="37"/>
      <x:c r="K556" s="37"/>
      <x:c r="L556" s="46"/>
      <x:c r="M556" s="43"/>
      <x:c r="N556" s="43"/>
      <x:c r="O556" s="43"/>
      <x:c r="P556" s="58" t="str">
        <x:f>IF(N556="","","Estantería "&amp;N556&amp;IF(O556="",""," - Balda "&amp;N556&amp;O556))</x:f>
      </x:c>
      <x:c r="Q556" s="37"/>
      <x:c r="R556" s="37"/>
      <x:c r="S556" s="49"/>
      <x:c r="T556" s="37"/>
      <x:c r="U556" s="37"/>
      <x:c r="V556" s="37"/>
      <x:c r="W556" s="34"/>
      <x:c r="X556" s="52"/>
      <x:c r="Y556" s="61" t="str">
        <x:f>IF(A556="","",IF(COUNTIF($A$6:$A$605,A556)&gt;1,"DUPLICADO","OK"))</x:f>
      </x:c>
      <x:c r="Z556" s="61" t="str">
        <x:f>IF(A556="","",IF(C556="","FALTA TÍTULO",IF(E556="","FALTA ÁREA",IF(W556&lt;&gt;"Sí","PENDIENTE","LISTO"))))</x:f>
      </x:c>
    </x:row>
    <x:row r="557">
      <x:c r="A557" s="40"/>
      <x:c r="B557" s="40"/>
      <x:c r="C557" s="37"/>
      <x:c r="D557" s="37"/>
      <x:c r="E557" s="37"/>
      <x:c r="F557" s="43"/>
      <x:c r="G557" s="43"/>
      <x:c r="H557" s="43"/>
      <x:c r="I557" s="55" t="str">
        <x:f>IF(OR(F557="",G557="",H557=""),"",F557&amp;" "&amp;UPPER(G557)&amp;"."&amp;LOWER(H557))</x:f>
      </x:c>
      <x:c r="J557" s="37"/>
      <x:c r="K557" s="37"/>
      <x:c r="L557" s="46"/>
      <x:c r="M557" s="43"/>
      <x:c r="N557" s="43"/>
      <x:c r="O557" s="43"/>
      <x:c r="P557" s="58" t="str">
        <x:f>IF(N557="","","Estantería "&amp;N557&amp;IF(O557="",""," - Balda "&amp;N557&amp;O557))</x:f>
      </x:c>
      <x:c r="Q557" s="37"/>
      <x:c r="R557" s="37"/>
      <x:c r="S557" s="49"/>
      <x:c r="T557" s="37"/>
      <x:c r="U557" s="37"/>
      <x:c r="V557" s="37"/>
      <x:c r="W557" s="34"/>
      <x:c r="X557" s="52"/>
      <x:c r="Y557" s="61" t="str">
        <x:f>IF(A557="","",IF(COUNTIF($A$6:$A$605,A557)&gt;1,"DUPLICADO","OK"))</x:f>
      </x:c>
      <x:c r="Z557" s="61" t="str">
        <x:f>IF(A557="","",IF(C557="","FALTA TÍTULO",IF(E557="","FALTA ÁREA",IF(W557&lt;&gt;"Sí","PENDIENTE","LISTO"))))</x:f>
      </x:c>
    </x:row>
    <x:row r="558">
      <x:c r="A558" s="40"/>
      <x:c r="B558" s="40"/>
      <x:c r="C558" s="37"/>
      <x:c r="D558" s="37"/>
      <x:c r="E558" s="37"/>
      <x:c r="F558" s="43"/>
      <x:c r="G558" s="43"/>
      <x:c r="H558" s="43"/>
      <x:c r="I558" s="55" t="str">
        <x:f>IF(OR(F558="",G558="",H558=""),"",F558&amp;" "&amp;UPPER(G558)&amp;"."&amp;LOWER(H558))</x:f>
      </x:c>
      <x:c r="J558" s="37"/>
      <x:c r="K558" s="37"/>
      <x:c r="L558" s="46"/>
      <x:c r="M558" s="43"/>
      <x:c r="N558" s="43"/>
      <x:c r="O558" s="43"/>
      <x:c r="P558" s="58" t="str">
        <x:f>IF(N558="","","Estantería "&amp;N558&amp;IF(O558="",""," - Balda "&amp;N558&amp;O558))</x:f>
      </x:c>
      <x:c r="Q558" s="37"/>
      <x:c r="R558" s="37"/>
      <x:c r="S558" s="49"/>
      <x:c r="T558" s="37"/>
      <x:c r="U558" s="37"/>
      <x:c r="V558" s="37"/>
      <x:c r="W558" s="34"/>
      <x:c r="X558" s="52"/>
      <x:c r="Y558" s="61" t="str">
        <x:f>IF(A558="","",IF(COUNTIF($A$6:$A$605,A558)&gt;1,"DUPLICADO","OK"))</x:f>
      </x:c>
      <x:c r="Z558" s="61" t="str">
        <x:f>IF(A558="","",IF(C558="","FALTA TÍTULO",IF(E558="","FALTA ÁREA",IF(W558&lt;&gt;"Sí","PENDIENTE","LISTO"))))</x:f>
      </x:c>
    </x:row>
    <x:row r="559">
      <x:c r="A559" s="40"/>
      <x:c r="B559" s="40"/>
      <x:c r="C559" s="37"/>
      <x:c r="D559" s="37"/>
      <x:c r="E559" s="37"/>
      <x:c r="F559" s="43"/>
      <x:c r="G559" s="43"/>
      <x:c r="H559" s="43"/>
      <x:c r="I559" s="55" t="str">
        <x:f>IF(OR(F559="",G559="",H559=""),"",F559&amp;" "&amp;UPPER(G559)&amp;"."&amp;LOWER(H559))</x:f>
      </x:c>
      <x:c r="J559" s="37"/>
      <x:c r="K559" s="37"/>
      <x:c r="L559" s="46"/>
      <x:c r="M559" s="43"/>
      <x:c r="N559" s="43"/>
      <x:c r="O559" s="43"/>
      <x:c r="P559" s="58" t="str">
        <x:f>IF(N559="","","Estantería "&amp;N559&amp;IF(O559="",""," - Balda "&amp;N559&amp;O559))</x:f>
      </x:c>
      <x:c r="Q559" s="37"/>
      <x:c r="R559" s="37"/>
      <x:c r="S559" s="49"/>
      <x:c r="T559" s="37"/>
      <x:c r="U559" s="37"/>
      <x:c r="V559" s="37"/>
      <x:c r="W559" s="34"/>
      <x:c r="X559" s="52"/>
      <x:c r="Y559" s="61" t="str">
        <x:f>IF(A559="","",IF(COUNTIF($A$6:$A$605,A559)&gt;1,"DUPLICADO","OK"))</x:f>
      </x:c>
      <x:c r="Z559" s="61" t="str">
        <x:f>IF(A559="","",IF(C559="","FALTA TÍTULO",IF(E559="","FALTA ÁREA",IF(W559&lt;&gt;"Sí","PENDIENTE","LISTO"))))</x:f>
      </x:c>
    </x:row>
    <x:row r="560">
      <x:c r="A560" s="40"/>
      <x:c r="B560" s="40"/>
      <x:c r="C560" s="37"/>
      <x:c r="D560" s="37"/>
      <x:c r="E560" s="37"/>
      <x:c r="F560" s="43"/>
      <x:c r="G560" s="43"/>
      <x:c r="H560" s="43"/>
      <x:c r="I560" s="55" t="str">
        <x:f>IF(OR(F560="",G560="",H560=""),"",F560&amp;" "&amp;UPPER(G560)&amp;"."&amp;LOWER(H560))</x:f>
      </x:c>
      <x:c r="J560" s="37"/>
      <x:c r="K560" s="37"/>
      <x:c r="L560" s="46"/>
      <x:c r="M560" s="43"/>
      <x:c r="N560" s="43"/>
      <x:c r="O560" s="43"/>
      <x:c r="P560" s="58" t="str">
        <x:f>IF(N560="","","Estantería "&amp;N560&amp;IF(O560="",""," - Balda "&amp;N560&amp;O560))</x:f>
      </x:c>
      <x:c r="Q560" s="37"/>
      <x:c r="R560" s="37"/>
      <x:c r="S560" s="49"/>
      <x:c r="T560" s="37"/>
      <x:c r="U560" s="37"/>
      <x:c r="V560" s="37"/>
      <x:c r="W560" s="34"/>
      <x:c r="X560" s="52"/>
      <x:c r="Y560" s="61" t="str">
        <x:f>IF(A560="","",IF(COUNTIF($A$6:$A$605,A560)&gt;1,"DUPLICADO","OK"))</x:f>
      </x:c>
      <x:c r="Z560" s="61" t="str">
        <x:f>IF(A560="","",IF(C560="","FALTA TÍTULO",IF(E560="","FALTA ÁREA",IF(W560&lt;&gt;"Sí","PENDIENTE","LISTO"))))</x:f>
      </x:c>
    </x:row>
    <x:row r="561">
      <x:c r="A561" s="40"/>
      <x:c r="B561" s="40"/>
      <x:c r="C561" s="37"/>
      <x:c r="D561" s="37"/>
      <x:c r="E561" s="37"/>
      <x:c r="F561" s="43"/>
      <x:c r="G561" s="43"/>
      <x:c r="H561" s="43"/>
      <x:c r="I561" s="55" t="str">
        <x:f>IF(OR(F561="",G561="",H561=""),"",F561&amp;" "&amp;UPPER(G561)&amp;"."&amp;LOWER(H561))</x:f>
      </x:c>
      <x:c r="J561" s="37"/>
      <x:c r="K561" s="37"/>
      <x:c r="L561" s="46"/>
      <x:c r="M561" s="43"/>
      <x:c r="N561" s="43"/>
      <x:c r="O561" s="43"/>
      <x:c r="P561" s="58" t="str">
        <x:f>IF(N561="","","Estantería "&amp;N561&amp;IF(O561="",""," - Balda "&amp;N561&amp;O561))</x:f>
      </x:c>
      <x:c r="Q561" s="37"/>
      <x:c r="R561" s="37"/>
      <x:c r="S561" s="49"/>
      <x:c r="T561" s="37"/>
      <x:c r="U561" s="37"/>
      <x:c r="V561" s="37"/>
      <x:c r="W561" s="34"/>
      <x:c r="X561" s="52"/>
      <x:c r="Y561" s="61" t="str">
        <x:f>IF(A561="","",IF(COUNTIF($A$6:$A$605,A561)&gt;1,"DUPLICADO","OK"))</x:f>
      </x:c>
      <x:c r="Z561" s="61" t="str">
        <x:f>IF(A561="","",IF(C561="","FALTA TÍTULO",IF(E561="","FALTA ÁREA",IF(W561&lt;&gt;"Sí","PENDIENTE","LISTO"))))</x:f>
      </x:c>
    </x:row>
    <x:row r="562">
      <x:c r="A562" s="40"/>
      <x:c r="B562" s="40"/>
      <x:c r="C562" s="37"/>
      <x:c r="D562" s="37"/>
      <x:c r="E562" s="37"/>
      <x:c r="F562" s="43"/>
      <x:c r="G562" s="43"/>
      <x:c r="H562" s="43"/>
      <x:c r="I562" s="55" t="str">
        <x:f>IF(OR(F562="",G562="",H562=""),"",F562&amp;" "&amp;UPPER(G562)&amp;"."&amp;LOWER(H562))</x:f>
      </x:c>
      <x:c r="J562" s="37"/>
      <x:c r="K562" s="37"/>
      <x:c r="L562" s="46"/>
      <x:c r="M562" s="43"/>
      <x:c r="N562" s="43"/>
      <x:c r="O562" s="43"/>
      <x:c r="P562" s="58" t="str">
        <x:f>IF(N562="","","Estantería "&amp;N562&amp;IF(O562="",""," - Balda "&amp;N562&amp;O562))</x:f>
      </x:c>
      <x:c r="Q562" s="37"/>
      <x:c r="R562" s="37"/>
      <x:c r="S562" s="49"/>
      <x:c r="T562" s="37"/>
      <x:c r="U562" s="37"/>
      <x:c r="V562" s="37"/>
      <x:c r="W562" s="34"/>
      <x:c r="X562" s="52"/>
      <x:c r="Y562" s="61" t="str">
        <x:f>IF(A562="","",IF(COUNTIF($A$6:$A$605,A562)&gt;1,"DUPLICADO","OK"))</x:f>
      </x:c>
      <x:c r="Z562" s="61" t="str">
        <x:f>IF(A562="","",IF(C562="","FALTA TÍTULO",IF(E562="","FALTA ÁREA",IF(W562&lt;&gt;"Sí","PENDIENTE","LISTO"))))</x:f>
      </x:c>
    </x:row>
    <x:row r="563">
      <x:c r="A563" s="40"/>
      <x:c r="B563" s="40"/>
      <x:c r="C563" s="37"/>
      <x:c r="D563" s="37"/>
      <x:c r="E563" s="37"/>
      <x:c r="F563" s="43"/>
      <x:c r="G563" s="43"/>
      <x:c r="H563" s="43"/>
      <x:c r="I563" s="55" t="str">
        <x:f>IF(OR(F563="",G563="",H563=""),"",F563&amp;" "&amp;UPPER(G563)&amp;"."&amp;LOWER(H563))</x:f>
      </x:c>
      <x:c r="J563" s="37"/>
      <x:c r="K563" s="37"/>
      <x:c r="L563" s="46"/>
      <x:c r="M563" s="43"/>
      <x:c r="N563" s="43"/>
      <x:c r="O563" s="43"/>
      <x:c r="P563" s="58" t="str">
        <x:f>IF(N563="","","Estantería "&amp;N563&amp;IF(O563="",""," - Balda "&amp;N563&amp;O563))</x:f>
      </x:c>
      <x:c r="Q563" s="37"/>
      <x:c r="R563" s="37"/>
      <x:c r="S563" s="49"/>
      <x:c r="T563" s="37"/>
      <x:c r="U563" s="37"/>
      <x:c r="V563" s="37"/>
      <x:c r="W563" s="34"/>
      <x:c r="X563" s="52"/>
      <x:c r="Y563" s="61" t="str">
        <x:f>IF(A563="","",IF(COUNTIF($A$6:$A$605,A563)&gt;1,"DUPLICADO","OK"))</x:f>
      </x:c>
      <x:c r="Z563" s="61" t="str">
        <x:f>IF(A563="","",IF(C563="","FALTA TÍTULO",IF(E563="","FALTA ÁREA",IF(W563&lt;&gt;"Sí","PENDIENTE","LISTO"))))</x:f>
      </x:c>
    </x:row>
    <x:row r="564">
      <x:c r="A564" s="40"/>
      <x:c r="B564" s="40"/>
      <x:c r="C564" s="37"/>
      <x:c r="D564" s="37"/>
      <x:c r="E564" s="37"/>
      <x:c r="F564" s="43"/>
      <x:c r="G564" s="43"/>
      <x:c r="H564" s="43"/>
      <x:c r="I564" s="55" t="str">
        <x:f>IF(OR(F564="",G564="",H564=""),"",F564&amp;" "&amp;UPPER(G564)&amp;"."&amp;LOWER(H564))</x:f>
      </x:c>
      <x:c r="J564" s="37"/>
      <x:c r="K564" s="37"/>
      <x:c r="L564" s="46"/>
      <x:c r="M564" s="43"/>
      <x:c r="N564" s="43"/>
      <x:c r="O564" s="43"/>
      <x:c r="P564" s="58" t="str">
        <x:f>IF(N564="","","Estantería "&amp;N564&amp;IF(O564="",""," - Balda "&amp;N564&amp;O564))</x:f>
      </x:c>
      <x:c r="Q564" s="37"/>
      <x:c r="R564" s="37"/>
      <x:c r="S564" s="49"/>
      <x:c r="T564" s="37"/>
      <x:c r="U564" s="37"/>
      <x:c r="V564" s="37"/>
      <x:c r="W564" s="34"/>
      <x:c r="X564" s="52"/>
      <x:c r="Y564" s="61" t="str">
        <x:f>IF(A564="","",IF(COUNTIF($A$6:$A$605,A564)&gt;1,"DUPLICADO","OK"))</x:f>
      </x:c>
      <x:c r="Z564" s="61" t="str">
        <x:f>IF(A564="","",IF(C564="","FALTA TÍTULO",IF(E564="","FALTA ÁREA",IF(W564&lt;&gt;"Sí","PENDIENTE","LISTO"))))</x:f>
      </x:c>
    </x:row>
    <x:row r="565">
      <x:c r="A565" s="40"/>
      <x:c r="B565" s="40"/>
      <x:c r="C565" s="37"/>
      <x:c r="D565" s="37"/>
      <x:c r="E565" s="37"/>
      <x:c r="F565" s="43"/>
      <x:c r="G565" s="43"/>
      <x:c r="H565" s="43"/>
      <x:c r="I565" s="55" t="str">
        <x:f>IF(OR(F565="",G565="",H565=""),"",F565&amp;" "&amp;UPPER(G565)&amp;"."&amp;LOWER(H565))</x:f>
      </x:c>
      <x:c r="J565" s="37"/>
      <x:c r="K565" s="37"/>
      <x:c r="L565" s="46"/>
      <x:c r="M565" s="43"/>
      <x:c r="N565" s="43"/>
      <x:c r="O565" s="43"/>
      <x:c r="P565" s="58" t="str">
        <x:f>IF(N565="","","Estantería "&amp;N565&amp;IF(O565="",""," - Balda "&amp;N565&amp;O565))</x:f>
      </x:c>
      <x:c r="Q565" s="37"/>
      <x:c r="R565" s="37"/>
      <x:c r="S565" s="49"/>
      <x:c r="T565" s="37"/>
      <x:c r="U565" s="37"/>
      <x:c r="V565" s="37"/>
      <x:c r="W565" s="34"/>
      <x:c r="X565" s="52"/>
      <x:c r="Y565" s="61" t="str">
        <x:f>IF(A565="","",IF(COUNTIF($A$6:$A$605,A565)&gt;1,"DUPLICADO","OK"))</x:f>
      </x:c>
      <x:c r="Z565" s="61" t="str">
        <x:f>IF(A565="","",IF(C565="","FALTA TÍTULO",IF(E565="","FALTA ÁREA",IF(W565&lt;&gt;"Sí","PENDIENTE","LISTO"))))</x:f>
      </x:c>
    </x:row>
    <x:row r="566">
      <x:c r="A566" s="40"/>
      <x:c r="B566" s="40"/>
      <x:c r="C566" s="37"/>
      <x:c r="D566" s="37"/>
      <x:c r="E566" s="37"/>
      <x:c r="F566" s="43"/>
      <x:c r="G566" s="43"/>
      <x:c r="H566" s="43"/>
      <x:c r="I566" s="55" t="str">
        <x:f>IF(OR(F566="",G566="",H566=""),"",F566&amp;" "&amp;UPPER(G566)&amp;"."&amp;LOWER(H566))</x:f>
      </x:c>
      <x:c r="J566" s="37"/>
      <x:c r="K566" s="37"/>
      <x:c r="L566" s="46"/>
      <x:c r="M566" s="43"/>
      <x:c r="N566" s="43"/>
      <x:c r="O566" s="43"/>
      <x:c r="P566" s="58" t="str">
        <x:f>IF(N566="","","Estantería "&amp;N566&amp;IF(O566="",""," - Balda "&amp;N566&amp;O566))</x:f>
      </x:c>
      <x:c r="Q566" s="37"/>
      <x:c r="R566" s="37"/>
      <x:c r="S566" s="49"/>
      <x:c r="T566" s="37"/>
      <x:c r="U566" s="37"/>
      <x:c r="V566" s="37"/>
      <x:c r="W566" s="34"/>
      <x:c r="X566" s="52"/>
      <x:c r="Y566" s="61" t="str">
        <x:f>IF(A566="","",IF(COUNTIF($A$6:$A$605,A566)&gt;1,"DUPLICADO","OK"))</x:f>
      </x:c>
      <x:c r="Z566" s="61" t="str">
        <x:f>IF(A566="","",IF(C566="","FALTA TÍTULO",IF(E566="","FALTA ÁREA",IF(W566&lt;&gt;"Sí","PENDIENTE","LISTO"))))</x:f>
      </x:c>
    </x:row>
    <x:row r="567">
      <x:c r="A567" s="40"/>
      <x:c r="B567" s="40"/>
      <x:c r="C567" s="37"/>
      <x:c r="D567" s="37"/>
      <x:c r="E567" s="37"/>
      <x:c r="F567" s="43"/>
      <x:c r="G567" s="43"/>
      <x:c r="H567" s="43"/>
      <x:c r="I567" s="55" t="str">
        <x:f>IF(OR(F567="",G567="",H567=""),"",F567&amp;" "&amp;UPPER(G567)&amp;"."&amp;LOWER(H567))</x:f>
      </x:c>
      <x:c r="J567" s="37"/>
      <x:c r="K567" s="37"/>
      <x:c r="L567" s="46"/>
      <x:c r="M567" s="43"/>
      <x:c r="N567" s="43"/>
      <x:c r="O567" s="43"/>
      <x:c r="P567" s="58" t="str">
        <x:f>IF(N567="","","Estantería "&amp;N567&amp;IF(O567="",""," - Balda "&amp;N567&amp;O567))</x:f>
      </x:c>
      <x:c r="Q567" s="37"/>
      <x:c r="R567" s="37"/>
      <x:c r="S567" s="49"/>
      <x:c r="T567" s="37"/>
      <x:c r="U567" s="37"/>
      <x:c r="V567" s="37"/>
      <x:c r="W567" s="34"/>
      <x:c r="X567" s="52"/>
      <x:c r="Y567" s="61" t="str">
        <x:f>IF(A567="","",IF(COUNTIF($A$6:$A$605,A567)&gt;1,"DUPLICADO","OK"))</x:f>
      </x:c>
      <x:c r="Z567" s="61" t="str">
        <x:f>IF(A567="","",IF(C567="","FALTA TÍTULO",IF(E567="","FALTA ÁREA",IF(W567&lt;&gt;"Sí","PENDIENTE","LISTO"))))</x:f>
      </x:c>
    </x:row>
    <x:row r="568">
      <x:c r="A568" s="40"/>
      <x:c r="B568" s="40"/>
      <x:c r="C568" s="37"/>
      <x:c r="D568" s="37"/>
      <x:c r="E568" s="37"/>
      <x:c r="F568" s="43"/>
      <x:c r="G568" s="43"/>
      <x:c r="H568" s="43"/>
      <x:c r="I568" s="55" t="str">
        <x:f>IF(OR(F568="",G568="",H568=""),"",F568&amp;" "&amp;UPPER(G568)&amp;"."&amp;LOWER(H568))</x:f>
      </x:c>
      <x:c r="J568" s="37"/>
      <x:c r="K568" s="37"/>
      <x:c r="L568" s="46"/>
      <x:c r="M568" s="43"/>
      <x:c r="N568" s="43"/>
      <x:c r="O568" s="43"/>
      <x:c r="P568" s="58" t="str">
        <x:f>IF(N568="","","Estantería "&amp;N568&amp;IF(O568="",""," - Balda "&amp;N568&amp;O568))</x:f>
      </x:c>
      <x:c r="Q568" s="37"/>
      <x:c r="R568" s="37"/>
      <x:c r="S568" s="49"/>
      <x:c r="T568" s="37"/>
      <x:c r="U568" s="37"/>
      <x:c r="V568" s="37"/>
      <x:c r="W568" s="34"/>
      <x:c r="X568" s="52"/>
      <x:c r="Y568" s="61" t="str">
        <x:f>IF(A568="","",IF(COUNTIF($A$6:$A$605,A568)&gt;1,"DUPLICADO","OK"))</x:f>
      </x:c>
      <x:c r="Z568" s="61" t="str">
        <x:f>IF(A568="","",IF(C568="","FALTA TÍTULO",IF(E568="","FALTA ÁREA",IF(W568&lt;&gt;"Sí","PENDIENTE","LISTO"))))</x:f>
      </x:c>
    </x:row>
    <x:row r="569">
      <x:c r="A569" s="40"/>
      <x:c r="B569" s="40"/>
      <x:c r="C569" s="37"/>
      <x:c r="D569" s="37"/>
      <x:c r="E569" s="37"/>
      <x:c r="F569" s="43"/>
      <x:c r="G569" s="43"/>
      <x:c r="H569" s="43"/>
      <x:c r="I569" s="55" t="str">
        <x:f>IF(OR(F569="",G569="",H569=""),"",F569&amp;" "&amp;UPPER(G569)&amp;"."&amp;LOWER(H569))</x:f>
      </x:c>
      <x:c r="J569" s="37"/>
      <x:c r="K569" s="37"/>
      <x:c r="L569" s="46"/>
      <x:c r="M569" s="43"/>
      <x:c r="N569" s="43"/>
      <x:c r="O569" s="43"/>
      <x:c r="P569" s="58" t="str">
        <x:f>IF(N569="","","Estantería "&amp;N569&amp;IF(O569="",""," - Balda "&amp;N569&amp;O569))</x:f>
      </x:c>
      <x:c r="Q569" s="37"/>
      <x:c r="R569" s="37"/>
      <x:c r="S569" s="49"/>
      <x:c r="T569" s="37"/>
      <x:c r="U569" s="37"/>
      <x:c r="V569" s="37"/>
      <x:c r="W569" s="34"/>
      <x:c r="X569" s="52"/>
      <x:c r="Y569" s="61" t="str">
        <x:f>IF(A569="","",IF(COUNTIF($A$6:$A$605,A569)&gt;1,"DUPLICADO","OK"))</x:f>
      </x:c>
      <x:c r="Z569" s="61" t="str">
        <x:f>IF(A569="","",IF(C569="","FALTA TÍTULO",IF(E569="","FALTA ÁREA",IF(W569&lt;&gt;"Sí","PENDIENTE","LISTO"))))</x:f>
      </x:c>
    </x:row>
    <x:row r="570">
      <x:c r="A570" s="40"/>
      <x:c r="B570" s="40"/>
      <x:c r="C570" s="37"/>
      <x:c r="D570" s="37"/>
      <x:c r="E570" s="37"/>
      <x:c r="F570" s="43"/>
      <x:c r="G570" s="43"/>
      <x:c r="H570" s="43"/>
      <x:c r="I570" s="55" t="str">
        <x:f>IF(OR(F570="",G570="",H570=""),"",F570&amp;" "&amp;UPPER(G570)&amp;"."&amp;LOWER(H570))</x:f>
      </x:c>
      <x:c r="J570" s="37"/>
      <x:c r="K570" s="37"/>
      <x:c r="L570" s="46"/>
      <x:c r="M570" s="43"/>
      <x:c r="N570" s="43"/>
      <x:c r="O570" s="43"/>
      <x:c r="P570" s="58" t="str">
        <x:f>IF(N570="","","Estantería "&amp;N570&amp;IF(O570="",""," - Balda "&amp;N570&amp;O570))</x:f>
      </x:c>
      <x:c r="Q570" s="37"/>
      <x:c r="R570" s="37"/>
      <x:c r="S570" s="49"/>
      <x:c r="T570" s="37"/>
      <x:c r="U570" s="37"/>
      <x:c r="V570" s="37"/>
      <x:c r="W570" s="34"/>
      <x:c r="X570" s="52"/>
      <x:c r="Y570" s="61" t="str">
        <x:f>IF(A570="","",IF(COUNTIF($A$6:$A$605,A570)&gt;1,"DUPLICADO","OK"))</x:f>
      </x:c>
      <x:c r="Z570" s="61" t="str">
        <x:f>IF(A570="","",IF(C570="","FALTA TÍTULO",IF(E570="","FALTA ÁREA",IF(W570&lt;&gt;"Sí","PENDIENTE","LISTO"))))</x:f>
      </x:c>
    </x:row>
    <x:row r="571">
      <x:c r="A571" s="40"/>
      <x:c r="B571" s="40"/>
      <x:c r="C571" s="37"/>
      <x:c r="D571" s="37"/>
      <x:c r="E571" s="37"/>
      <x:c r="F571" s="43"/>
      <x:c r="G571" s="43"/>
      <x:c r="H571" s="43"/>
      <x:c r="I571" s="55" t="str">
        <x:f>IF(OR(F571="",G571="",H571=""),"",F571&amp;" "&amp;UPPER(G571)&amp;"."&amp;LOWER(H571))</x:f>
      </x:c>
      <x:c r="J571" s="37"/>
      <x:c r="K571" s="37"/>
      <x:c r="L571" s="46"/>
      <x:c r="M571" s="43"/>
      <x:c r="N571" s="43"/>
      <x:c r="O571" s="43"/>
      <x:c r="P571" s="58" t="str">
        <x:f>IF(N571="","","Estantería "&amp;N571&amp;IF(O571="",""," - Balda "&amp;N571&amp;O571))</x:f>
      </x:c>
      <x:c r="Q571" s="37"/>
      <x:c r="R571" s="37"/>
      <x:c r="S571" s="49"/>
      <x:c r="T571" s="37"/>
      <x:c r="U571" s="37"/>
      <x:c r="V571" s="37"/>
      <x:c r="W571" s="34"/>
      <x:c r="X571" s="52"/>
      <x:c r="Y571" s="61" t="str">
        <x:f>IF(A571="","",IF(COUNTIF($A$6:$A$605,A571)&gt;1,"DUPLICADO","OK"))</x:f>
      </x:c>
      <x:c r="Z571" s="61" t="str">
        <x:f>IF(A571="","",IF(C571="","FALTA TÍTULO",IF(E571="","FALTA ÁREA",IF(W571&lt;&gt;"Sí","PENDIENTE","LISTO"))))</x:f>
      </x:c>
    </x:row>
    <x:row r="572">
      <x:c r="A572" s="40"/>
      <x:c r="B572" s="40"/>
      <x:c r="C572" s="37"/>
      <x:c r="D572" s="37"/>
      <x:c r="E572" s="37"/>
      <x:c r="F572" s="43"/>
      <x:c r="G572" s="43"/>
      <x:c r="H572" s="43"/>
      <x:c r="I572" s="55" t="str">
        <x:f>IF(OR(F572="",G572="",H572=""),"",F572&amp;" "&amp;UPPER(G572)&amp;"."&amp;LOWER(H572))</x:f>
      </x:c>
      <x:c r="J572" s="37"/>
      <x:c r="K572" s="37"/>
      <x:c r="L572" s="46"/>
      <x:c r="M572" s="43"/>
      <x:c r="N572" s="43"/>
      <x:c r="O572" s="43"/>
      <x:c r="P572" s="58" t="str">
        <x:f>IF(N572="","","Estantería "&amp;N572&amp;IF(O572="",""," - Balda "&amp;N572&amp;O572))</x:f>
      </x:c>
      <x:c r="Q572" s="37"/>
      <x:c r="R572" s="37"/>
      <x:c r="S572" s="49"/>
      <x:c r="T572" s="37"/>
      <x:c r="U572" s="37"/>
      <x:c r="V572" s="37"/>
      <x:c r="W572" s="34"/>
      <x:c r="X572" s="52"/>
      <x:c r="Y572" s="61" t="str">
        <x:f>IF(A572="","",IF(COUNTIF($A$6:$A$605,A572)&gt;1,"DUPLICADO","OK"))</x:f>
      </x:c>
      <x:c r="Z572" s="61" t="str">
        <x:f>IF(A572="","",IF(C572="","FALTA TÍTULO",IF(E572="","FALTA ÁREA",IF(W572&lt;&gt;"Sí","PENDIENTE","LISTO"))))</x:f>
      </x:c>
    </x:row>
    <x:row r="573">
      <x:c r="A573" s="40"/>
      <x:c r="B573" s="40"/>
      <x:c r="C573" s="37"/>
      <x:c r="D573" s="37"/>
      <x:c r="E573" s="37"/>
      <x:c r="F573" s="43"/>
      <x:c r="G573" s="43"/>
      <x:c r="H573" s="43"/>
      <x:c r="I573" s="55" t="str">
        <x:f>IF(OR(F573="",G573="",H573=""),"",F573&amp;" "&amp;UPPER(G573)&amp;"."&amp;LOWER(H573))</x:f>
      </x:c>
      <x:c r="J573" s="37"/>
      <x:c r="K573" s="37"/>
      <x:c r="L573" s="46"/>
      <x:c r="M573" s="43"/>
      <x:c r="N573" s="43"/>
      <x:c r="O573" s="43"/>
      <x:c r="P573" s="58" t="str">
        <x:f>IF(N573="","","Estantería "&amp;N573&amp;IF(O573="",""," - Balda "&amp;N573&amp;O573))</x:f>
      </x:c>
      <x:c r="Q573" s="37"/>
      <x:c r="R573" s="37"/>
      <x:c r="S573" s="49"/>
      <x:c r="T573" s="37"/>
      <x:c r="U573" s="37"/>
      <x:c r="V573" s="37"/>
      <x:c r="W573" s="34"/>
      <x:c r="X573" s="52"/>
      <x:c r="Y573" s="61" t="str">
        <x:f>IF(A573="","",IF(COUNTIF($A$6:$A$605,A573)&gt;1,"DUPLICADO","OK"))</x:f>
      </x:c>
      <x:c r="Z573" s="61" t="str">
        <x:f>IF(A573="","",IF(C573="","FALTA TÍTULO",IF(E573="","FALTA ÁREA",IF(W573&lt;&gt;"Sí","PENDIENTE","LISTO"))))</x:f>
      </x:c>
    </x:row>
    <x:row r="574">
      <x:c r="A574" s="40"/>
      <x:c r="B574" s="40"/>
      <x:c r="C574" s="37"/>
      <x:c r="D574" s="37"/>
      <x:c r="E574" s="37"/>
      <x:c r="F574" s="43"/>
      <x:c r="G574" s="43"/>
      <x:c r="H574" s="43"/>
      <x:c r="I574" s="55" t="str">
        <x:f>IF(OR(F574="",G574="",H574=""),"",F574&amp;" "&amp;UPPER(G574)&amp;"."&amp;LOWER(H574))</x:f>
      </x:c>
      <x:c r="J574" s="37"/>
      <x:c r="K574" s="37"/>
      <x:c r="L574" s="46"/>
      <x:c r="M574" s="43"/>
      <x:c r="N574" s="43"/>
      <x:c r="O574" s="43"/>
      <x:c r="P574" s="58" t="str">
        <x:f>IF(N574="","","Estantería "&amp;N574&amp;IF(O574="",""," - Balda "&amp;N574&amp;O574))</x:f>
      </x:c>
      <x:c r="Q574" s="37"/>
      <x:c r="R574" s="37"/>
      <x:c r="S574" s="49"/>
      <x:c r="T574" s="37"/>
      <x:c r="U574" s="37"/>
      <x:c r="V574" s="37"/>
      <x:c r="W574" s="34"/>
      <x:c r="X574" s="52"/>
      <x:c r="Y574" s="61" t="str">
        <x:f>IF(A574="","",IF(COUNTIF($A$6:$A$605,A574)&gt;1,"DUPLICADO","OK"))</x:f>
      </x:c>
      <x:c r="Z574" s="61" t="str">
        <x:f>IF(A574="","",IF(C574="","FALTA TÍTULO",IF(E574="","FALTA ÁREA",IF(W574&lt;&gt;"Sí","PENDIENTE","LISTO"))))</x:f>
      </x:c>
    </x:row>
    <x:row r="575">
      <x:c r="A575" s="40"/>
      <x:c r="B575" s="40"/>
      <x:c r="C575" s="37"/>
      <x:c r="D575" s="37"/>
      <x:c r="E575" s="37"/>
      <x:c r="F575" s="43"/>
      <x:c r="G575" s="43"/>
      <x:c r="H575" s="43"/>
      <x:c r="I575" s="55" t="str">
        <x:f>IF(OR(F575="",G575="",H575=""),"",F575&amp;" "&amp;UPPER(G575)&amp;"."&amp;LOWER(H575))</x:f>
      </x:c>
      <x:c r="J575" s="37"/>
      <x:c r="K575" s="37"/>
      <x:c r="L575" s="46"/>
      <x:c r="M575" s="43"/>
      <x:c r="N575" s="43"/>
      <x:c r="O575" s="43"/>
      <x:c r="P575" s="58" t="str">
        <x:f>IF(N575="","","Estantería "&amp;N575&amp;IF(O575="",""," - Balda "&amp;N575&amp;O575))</x:f>
      </x:c>
      <x:c r="Q575" s="37"/>
      <x:c r="R575" s="37"/>
      <x:c r="S575" s="49"/>
      <x:c r="T575" s="37"/>
      <x:c r="U575" s="37"/>
      <x:c r="V575" s="37"/>
      <x:c r="W575" s="34"/>
      <x:c r="X575" s="52"/>
      <x:c r="Y575" s="61" t="str">
        <x:f>IF(A575="","",IF(COUNTIF($A$6:$A$605,A575)&gt;1,"DUPLICADO","OK"))</x:f>
      </x:c>
      <x:c r="Z575" s="61" t="str">
        <x:f>IF(A575="","",IF(C575="","FALTA TÍTULO",IF(E575="","FALTA ÁREA",IF(W575&lt;&gt;"Sí","PENDIENTE","LISTO"))))</x:f>
      </x:c>
    </x:row>
    <x:row r="576">
      <x:c r="A576" s="40"/>
      <x:c r="B576" s="40"/>
      <x:c r="C576" s="37"/>
      <x:c r="D576" s="37"/>
      <x:c r="E576" s="37"/>
      <x:c r="F576" s="43"/>
      <x:c r="G576" s="43"/>
      <x:c r="H576" s="43"/>
      <x:c r="I576" s="55" t="str">
        <x:f>IF(OR(F576="",G576="",H576=""),"",F576&amp;" "&amp;UPPER(G576)&amp;"."&amp;LOWER(H576))</x:f>
      </x:c>
      <x:c r="J576" s="37"/>
      <x:c r="K576" s="37"/>
      <x:c r="L576" s="46"/>
      <x:c r="M576" s="43"/>
      <x:c r="N576" s="43"/>
      <x:c r="O576" s="43"/>
      <x:c r="P576" s="58" t="str">
        <x:f>IF(N576="","","Estantería "&amp;N576&amp;IF(O576="",""," - Balda "&amp;N576&amp;O576))</x:f>
      </x:c>
      <x:c r="Q576" s="37"/>
      <x:c r="R576" s="37"/>
      <x:c r="S576" s="49"/>
      <x:c r="T576" s="37"/>
      <x:c r="U576" s="37"/>
      <x:c r="V576" s="37"/>
      <x:c r="W576" s="34"/>
      <x:c r="X576" s="52"/>
      <x:c r="Y576" s="61" t="str">
        <x:f>IF(A576="","",IF(COUNTIF($A$6:$A$605,A576)&gt;1,"DUPLICADO","OK"))</x:f>
      </x:c>
      <x:c r="Z576" s="61" t="str">
        <x:f>IF(A576="","",IF(C576="","FALTA TÍTULO",IF(E576="","FALTA ÁREA",IF(W576&lt;&gt;"Sí","PENDIENTE","LISTO"))))</x:f>
      </x:c>
    </x:row>
    <x:row r="577">
      <x:c r="A577" s="40"/>
      <x:c r="B577" s="40"/>
      <x:c r="C577" s="37"/>
      <x:c r="D577" s="37"/>
      <x:c r="E577" s="37"/>
      <x:c r="F577" s="43"/>
      <x:c r="G577" s="43"/>
      <x:c r="H577" s="43"/>
      <x:c r="I577" s="55" t="str">
        <x:f>IF(OR(F577="",G577="",H577=""),"",F577&amp;" "&amp;UPPER(G577)&amp;"."&amp;LOWER(H577))</x:f>
      </x:c>
      <x:c r="J577" s="37"/>
      <x:c r="K577" s="37"/>
      <x:c r="L577" s="46"/>
      <x:c r="M577" s="43"/>
      <x:c r="N577" s="43"/>
      <x:c r="O577" s="43"/>
      <x:c r="P577" s="58" t="str">
        <x:f>IF(N577="","","Estantería "&amp;N577&amp;IF(O577="",""," - Balda "&amp;N577&amp;O577))</x:f>
      </x:c>
      <x:c r="Q577" s="37"/>
      <x:c r="R577" s="37"/>
      <x:c r="S577" s="49"/>
      <x:c r="T577" s="37"/>
      <x:c r="U577" s="37"/>
      <x:c r="V577" s="37"/>
      <x:c r="W577" s="34"/>
      <x:c r="X577" s="52"/>
      <x:c r="Y577" s="61" t="str">
        <x:f>IF(A577="","",IF(COUNTIF($A$6:$A$605,A577)&gt;1,"DUPLICADO","OK"))</x:f>
      </x:c>
      <x:c r="Z577" s="61" t="str">
        <x:f>IF(A577="","",IF(C577="","FALTA TÍTULO",IF(E577="","FALTA ÁREA",IF(W577&lt;&gt;"Sí","PENDIENTE","LISTO"))))</x:f>
      </x:c>
    </x:row>
    <x:row r="578">
      <x:c r="A578" s="40"/>
      <x:c r="B578" s="40"/>
      <x:c r="C578" s="37"/>
      <x:c r="D578" s="37"/>
      <x:c r="E578" s="37"/>
      <x:c r="F578" s="43"/>
      <x:c r="G578" s="43"/>
      <x:c r="H578" s="43"/>
      <x:c r="I578" s="55" t="str">
        <x:f>IF(OR(F578="",G578="",H578=""),"",F578&amp;" "&amp;UPPER(G578)&amp;"."&amp;LOWER(H578))</x:f>
      </x:c>
      <x:c r="J578" s="37"/>
      <x:c r="K578" s="37"/>
      <x:c r="L578" s="46"/>
      <x:c r="M578" s="43"/>
      <x:c r="N578" s="43"/>
      <x:c r="O578" s="43"/>
      <x:c r="P578" s="58" t="str">
        <x:f>IF(N578="","","Estantería "&amp;N578&amp;IF(O578="",""," - Balda "&amp;N578&amp;O578))</x:f>
      </x:c>
      <x:c r="Q578" s="37"/>
      <x:c r="R578" s="37"/>
      <x:c r="S578" s="49"/>
      <x:c r="T578" s="37"/>
      <x:c r="U578" s="37"/>
      <x:c r="V578" s="37"/>
      <x:c r="W578" s="34"/>
      <x:c r="X578" s="52"/>
      <x:c r="Y578" s="61" t="str">
        <x:f>IF(A578="","",IF(COUNTIF($A$6:$A$605,A578)&gt;1,"DUPLICADO","OK"))</x:f>
      </x:c>
      <x:c r="Z578" s="61" t="str">
        <x:f>IF(A578="","",IF(C578="","FALTA TÍTULO",IF(E578="","FALTA ÁREA",IF(W578&lt;&gt;"Sí","PENDIENTE","LISTO"))))</x:f>
      </x:c>
    </x:row>
    <x:row r="579">
      <x:c r="A579" s="40"/>
      <x:c r="B579" s="40"/>
      <x:c r="C579" s="37"/>
      <x:c r="D579" s="37"/>
      <x:c r="E579" s="37"/>
      <x:c r="F579" s="43"/>
      <x:c r="G579" s="43"/>
      <x:c r="H579" s="43"/>
      <x:c r="I579" s="55" t="str">
        <x:f>IF(OR(F579="",G579="",H579=""),"",F579&amp;" "&amp;UPPER(G579)&amp;"."&amp;LOWER(H579))</x:f>
      </x:c>
      <x:c r="J579" s="37"/>
      <x:c r="K579" s="37"/>
      <x:c r="L579" s="46"/>
      <x:c r="M579" s="43"/>
      <x:c r="N579" s="43"/>
      <x:c r="O579" s="43"/>
      <x:c r="P579" s="58" t="str">
        <x:f>IF(N579="","","Estantería "&amp;N579&amp;IF(O579="",""," - Balda "&amp;N579&amp;O579))</x:f>
      </x:c>
      <x:c r="Q579" s="37"/>
      <x:c r="R579" s="37"/>
      <x:c r="S579" s="49"/>
      <x:c r="T579" s="37"/>
      <x:c r="U579" s="37"/>
      <x:c r="V579" s="37"/>
      <x:c r="W579" s="34"/>
      <x:c r="X579" s="52"/>
      <x:c r="Y579" s="61" t="str">
        <x:f>IF(A579="","",IF(COUNTIF($A$6:$A$605,A579)&gt;1,"DUPLICADO","OK"))</x:f>
      </x:c>
      <x:c r="Z579" s="61" t="str">
        <x:f>IF(A579="","",IF(C579="","FALTA TÍTULO",IF(E579="","FALTA ÁREA",IF(W579&lt;&gt;"Sí","PENDIENTE","LISTO"))))</x:f>
      </x:c>
    </x:row>
    <x:row r="580">
      <x:c r="A580" s="40"/>
      <x:c r="B580" s="40"/>
      <x:c r="C580" s="37"/>
      <x:c r="D580" s="37"/>
      <x:c r="E580" s="37"/>
      <x:c r="F580" s="43"/>
      <x:c r="G580" s="43"/>
      <x:c r="H580" s="43"/>
      <x:c r="I580" s="55" t="str">
        <x:f>IF(OR(F580="",G580="",H580=""),"",F580&amp;" "&amp;UPPER(G580)&amp;"."&amp;LOWER(H580))</x:f>
      </x:c>
      <x:c r="J580" s="37"/>
      <x:c r="K580" s="37"/>
      <x:c r="L580" s="46"/>
      <x:c r="M580" s="43"/>
      <x:c r="N580" s="43"/>
      <x:c r="O580" s="43"/>
      <x:c r="P580" s="58" t="str">
        <x:f>IF(N580="","","Estantería "&amp;N580&amp;IF(O580="",""," - Balda "&amp;N580&amp;O580))</x:f>
      </x:c>
      <x:c r="Q580" s="37"/>
      <x:c r="R580" s="37"/>
      <x:c r="S580" s="49"/>
      <x:c r="T580" s="37"/>
      <x:c r="U580" s="37"/>
      <x:c r="V580" s="37"/>
      <x:c r="W580" s="34"/>
      <x:c r="X580" s="52"/>
      <x:c r="Y580" s="61" t="str">
        <x:f>IF(A580="","",IF(COUNTIF($A$6:$A$605,A580)&gt;1,"DUPLICADO","OK"))</x:f>
      </x:c>
      <x:c r="Z580" s="61" t="str">
        <x:f>IF(A580="","",IF(C580="","FALTA TÍTULO",IF(E580="","FALTA ÁREA",IF(W580&lt;&gt;"Sí","PENDIENTE","LISTO"))))</x:f>
      </x:c>
    </x:row>
    <x:row r="581">
      <x:c r="A581" s="40"/>
      <x:c r="B581" s="40"/>
      <x:c r="C581" s="37"/>
      <x:c r="D581" s="37"/>
      <x:c r="E581" s="37"/>
      <x:c r="F581" s="43"/>
      <x:c r="G581" s="43"/>
      <x:c r="H581" s="43"/>
      <x:c r="I581" s="55" t="str">
        <x:f>IF(OR(F581="",G581="",H581=""),"",F581&amp;" "&amp;UPPER(G581)&amp;"."&amp;LOWER(H581))</x:f>
      </x:c>
      <x:c r="J581" s="37"/>
      <x:c r="K581" s="37"/>
      <x:c r="L581" s="46"/>
      <x:c r="M581" s="43"/>
      <x:c r="N581" s="43"/>
      <x:c r="O581" s="43"/>
      <x:c r="P581" s="58" t="str">
        <x:f>IF(N581="","","Estantería "&amp;N581&amp;IF(O581="",""," - Balda "&amp;N581&amp;O581))</x:f>
      </x:c>
      <x:c r="Q581" s="37"/>
      <x:c r="R581" s="37"/>
      <x:c r="S581" s="49"/>
      <x:c r="T581" s="37"/>
      <x:c r="U581" s="37"/>
      <x:c r="V581" s="37"/>
      <x:c r="W581" s="34"/>
      <x:c r="X581" s="52"/>
      <x:c r="Y581" s="61" t="str">
        <x:f>IF(A581="","",IF(COUNTIF($A$6:$A$605,A581)&gt;1,"DUPLICADO","OK"))</x:f>
      </x:c>
      <x:c r="Z581" s="61" t="str">
        <x:f>IF(A581="","",IF(C581="","FALTA TÍTULO",IF(E581="","FALTA ÁREA",IF(W581&lt;&gt;"Sí","PENDIENTE","LISTO"))))</x:f>
      </x:c>
    </x:row>
    <x:row r="582">
      <x:c r="A582" s="40"/>
      <x:c r="B582" s="40"/>
      <x:c r="C582" s="37"/>
      <x:c r="D582" s="37"/>
      <x:c r="E582" s="37"/>
      <x:c r="F582" s="43"/>
      <x:c r="G582" s="43"/>
      <x:c r="H582" s="43"/>
      <x:c r="I582" s="55" t="str">
        <x:f>IF(OR(F582="",G582="",H582=""),"",F582&amp;" "&amp;UPPER(G582)&amp;"."&amp;LOWER(H582))</x:f>
      </x:c>
      <x:c r="J582" s="37"/>
      <x:c r="K582" s="37"/>
      <x:c r="L582" s="46"/>
      <x:c r="M582" s="43"/>
      <x:c r="N582" s="43"/>
      <x:c r="O582" s="43"/>
      <x:c r="P582" s="58" t="str">
        <x:f>IF(N582="","","Estantería "&amp;N582&amp;IF(O582="",""," - Balda "&amp;N582&amp;O582))</x:f>
      </x:c>
      <x:c r="Q582" s="37"/>
      <x:c r="R582" s="37"/>
      <x:c r="S582" s="49"/>
      <x:c r="T582" s="37"/>
      <x:c r="U582" s="37"/>
      <x:c r="V582" s="37"/>
      <x:c r="W582" s="34"/>
      <x:c r="X582" s="52"/>
      <x:c r="Y582" s="61" t="str">
        <x:f>IF(A582="","",IF(COUNTIF($A$6:$A$605,A582)&gt;1,"DUPLICADO","OK"))</x:f>
      </x:c>
      <x:c r="Z582" s="61" t="str">
        <x:f>IF(A582="","",IF(C582="","FALTA TÍTULO",IF(E582="","FALTA ÁREA",IF(W582&lt;&gt;"Sí","PENDIENTE","LISTO"))))</x:f>
      </x:c>
    </x:row>
    <x:row r="583">
      <x:c r="A583" s="40"/>
      <x:c r="B583" s="40"/>
      <x:c r="C583" s="37"/>
      <x:c r="D583" s="37"/>
      <x:c r="E583" s="37"/>
      <x:c r="F583" s="43"/>
      <x:c r="G583" s="43"/>
      <x:c r="H583" s="43"/>
      <x:c r="I583" s="55" t="str">
        <x:f>IF(OR(F583="",G583="",H583=""),"",F583&amp;" "&amp;UPPER(G583)&amp;"."&amp;LOWER(H583))</x:f>
      </x:c>
      <x:c r="J583" s="37"/>
      <x:c r="K583" s="37"/>
      <x:c r="L583" s="46"/>
      <x:c r="M583" s="43"/>
      <x:c r="N583" s="43"/>
      <x:c r="O583" s="43"/>
      <x:c r="P583" s="58" t="str">
        <x:f>IF(N583="","","Estantería "&amp;N583&amp;IF(O583="",""," - Balda "&amp;N583&amp;O583))</x:f>
      </x:c>
      <x:c r="Q583" s="37"/>
      <x:c r="R583" s="37"/>
      <x:c r="S583" s="49"/>
      <x:c r="T583" s="37"/>
      <x:c r="U583" s="37"/>
      <x:c r="V583" s="37"/>
      <x:c r="W583" s="34"/>
      <x:c r="X583" s="52"/>
      <x:c r="Y583" s="61" t="str">
        <x:f>IF(A583="","",IF(COUNTIF($A$6:$A$605,A583)&gt;1,"DUPLICADO","OK"))</x:f>
      </x:c>
      <x:c r="Z583" s="61" t="str">
        <x:f>IF(A583="","",IF(C583="","FALTA TÍTULO",IF(E583="","FALTA ÁREA",IF(W583&lt;&gt;"Sí","PENDIENTE","LISTO"))))</x:f>
      </x:c>
    </x:row>
    <x:row r="584">
      <x:c r="A584" s="40"/>
      <x:c r="B584" s="40"/>
      <x:c r="C584" s="37"/>
      <x:c r="D584" s="37"/>
      <x:c r="E584" s="37"/>
      <x:c r="F584" s="43"/>
      <x:c r="G584" s="43"/>
      <x:c r="H584" s="43"/>
      <x:c r="I584" s="55" t="str">
        <x:f>IF(OR(F584="",G584="",H584=""),"",F584&amp;" "&amp;UPPER(G584)&amp;"."&amp;LOWER(H584))</x:f>
      </x:c>
      <x:c r="J584" s="37"/>
      <x:c r="K584" s="37"/>
      <x:c r="L584" s="46"/>
      <x:c r="M584" s="43"/>
      <x:c r="N584" s="43"/>
      <x:c r="O584" s="43"/>
      <x:c r="P584" s="58" t="str">
        <x:f>IF(N584="","","Estantería "&amp;N584&amp;IF(O584="",""," - Balda "&amp;N584&amp;O584))</x:f>
      </x:c>
      <x:c r="Q584" s="37"/>
      <x:c r="R584" s="37"/>
      <x:c r="S584" s="49"/>
      <x:c r="T584" s="37"/>
      <x:c r="U584" s="37"/>
      <x:c r="V584" s="37"/>
      <x:c r="W584" s="34"/>
      <x:c r="X584" s="52"/>
      <x:c r="Y584" s="61" t="str">
        <x:f>IF(A584="","",IF(COUNTIF($A$6:$A$605,A584)&gt;1,"DUPLICADO","OK"))</x:f>
      </x:c>
      <x:c r="Z584" s="61" t="str">
        <x:f>IF(A584="","",IF(C584="","FALTA TÍTULO",IF(E584="","FALTA ÁREA",IF(W584&lt;&gt;"Sí","PENDIENTE","LISTO"))))</x:f>
      </x:c>
    </x:row>
    <x:row r="585">
      <x:c r="A585" s="40"/>
      <x:c r="B585" s="40"/>
      <x:c r="C585" s="37"/>
      <x:c r="D585" s="37"/>
      <x:c r="E585" s="37"/>
      <x:c r="F585" s="43"/>
      <x:c r="G585" s="43"/>
      <x:c r="H585" s="43"/>
      <x:c r="I585" s="55" t="str">
        <x:f>IF(OR(F585="",G585="",H585=""),"",F585&amp;" "&amp;UPPER(G585)&amp;"."&amp;LOWER(H585))</x:f>
      </x:c>
      <x:c r="J585" s="37"/>
      <x:c r="K585" s="37"/>
      <x:c r="L585" s="46"/>
      <x:c r="M585" s="43"/>
      <x:c r="N585" s="43"/>
      <x:c r="O585" s="43"/>
      <x:c r="P585" s="58" t="str">
        <x:f>IF(N585="","","Estantería "&amp;N585&amp;IF(O585="",""," - Balda "&amp;N585&amp;O585))</x:f>
      </x:c>
      <x:c r="Q585" s="37"/>
      <x:c r="R585" s="37"/>
      <x:c r="S585" s="49"/>
      <x:c r="T585" s="37"/>
      <x:c r="U585" s="37"/>
      <x:c r="V585" s="37"/>
      <x:c r="W585" s="34"/>
      <x:c r="X585" s="52"/>
      <x:c r="Y585" s="61" t="str">
        <x:f>IF(A585="","",IF(COUNTIF($A$6:$A$605,A585)&gt;1,"DUPLICADO","OK"))</x:f>
      </x:c>
      <x:c r="Z585" s="61" t="str">
        <x:f>IF(A585="","",IF(C585="","FALTA TÍTULO",IF(E585="","FALTA ÁREA",IF(W585&lt;&gt;"Sí","PENDIENTE","LISTO"))))</x:f>
      </x:c>
    </x:row>
    <x:row r="586">
      <x:c r="A586" s="40"/>
      <x:c r="B586" s="40"/>
      <x:c r="C586" s="37"/>
      <x:c r="D586" s="37"/>
      <x:c r="E586" s="37"/>
      <x:c r="F586" s="43"/>
      <x:c r="G586" s="43"/>
      <x:c r="H586" s="43"/>
      <x:c r="I586" s="55" t="str">
        <x:f>IF(OR(F586="",G586="",H586=""),"",F586&amp;" "&amp;UPPER(G586)&amp;"."&amp;LOWER(H586))</x:f>
      </x:c>
      <x:c r="J586" s="37"/>
      <x:c r="K586" s="37"/>
      <x:c r="L586" s="46"/>
      <x:c r="M586" s="43"/>
      <x:c r="N586" s="43"/>
      <x:c r="O586" s="43"/>
      <x:c r="P586" s="58" t="str">
        <x:f>IF(N586="","","Estantería "&amp;N586&amp;IF(O586="",""," - Balda "&amp;N586&amp;O586))</x:f>
      </x:c>
      <x:c r="Q586" s="37"/>
      <x:c r="R586" s="37"/>
      <x:c r="S586" s="49"/>
      <x:c r="T586" s="37"/>
      <x:c r="U586" s="37"/>
      <x:c r="V586" s="37"/>
      <x:c r="W586" s="34"/>
      <x:c r="X586" s="52"/>
      <x:c r="Y586" s="61" t="str">
        <x:f>IF(A586="","",IF(COUNTIF($A$6:$A$605,A586)&gt;1,"DUPLICADO","OK"))</x:f>
      </x:c>
      <x:c r="Z586" s="61" t="str">
        <x:f>IF(A586="","",IF(C586="","FALTA TÍTULO",IF(E586="","FALTA ÁREA",IF(W586&lt;&gt;"Sí","PENDIENTE","LISTO"))))</x:f>
      </x:c>
    </x:row>
    <x:row r="587">
      <x:c r="A587" s="40"/>
      <x:c r="B587" s="40"/>
      <x:c r="C587" s="37"/>
      <x:c r="D587" s="37"/>
      <x:c r="E587" s="37"/>
      <x:c r="F587" s="43"/>
      <x:c r="G587" s="43"/>
      <x:c r="H587" s="43"/>
      <x:c r="I587" s="55" t="str">
        <x:f>IF(OR(F587="",G587="",H587=""),"",F587&amp;" "&amp;UPPER(G587)&amp;"."&amp;LOWER(H587))</x:f>
      </x:c>
      <x:c r="J587" s="37"/>
      <x:c r="K587" s="37"/>
      <x:c r="L587" s="46"/>
      <x:c r="M587" s="43"/>
      <x:c r="N587" s="43"/>
      <x:c r="O587" s="43"/>
      <x:c r="P587" s="58" t="str">
        <x:f>IF(N587="","","Estantería "&amp;N587&amp;IF(O587="",""," - Balda "&amp;N587&amp;O587))</x:f>
      </x:c>
      <x:c r="Q587" s="37"/>
      <x:c r="R587" s="37"/>
      <x:c r="S587" s="49"/>
      <x:c r="T587" s="37"/>
      <x:c r="U587" s="37"/>
      <x:c r="V587" s="37"/>
      <x:c r="W587" s="34"/>
      <x:c r="X587" s="52"/>
      <x:c r="Y587" s="61" t="str">
        <x:f>IF(A587="","",IF(COUNTIF($A$6:$A$605,A587)&gt;1,"DUPLICADO","OK"))</x:f>
      </x:c>
      <x:c r="Z587" s="61" t="str">
        <x:f>IF(A587="","",IF(C587="","FALTA TÍTULO",IF(E587="","FALTA ÁREA",IF(W587&lt;&gt;"Sí","PENDIENTE","LISTO"))))</x:f>
      </x:c>
    </x:row>
    <x:row r="588">
      <x:c r="A588" s="40"/>
      <x:c r="B588" s="40"/>
      <x:c r="C588" s="37"/>
      <x:c r="D588" s="37"/>
      <x:c r="E588" s="37"/>
      <x:c r="F588" s="43"/>
      <x:c r="G588" s="43"/>
      <x:c r="H588" s="43"/>
      <x:c r="I588" s="55" t="str">
        <x:f>IF(OR(F588="",G588="",H588=""),"",F588&amp;" "&amp;UPPER(G588)&amp;"."&amp;LOWER(H588))</x:f>
      </x:c>
      <x:c r="J588" s="37"/>
      <x:c r="K588" s="37"/>
      <x:c r="L588" s="46"/>
      <x:c r="M588" s="43"/>
      <x:c r="N588" s="43"/>
      <x:c r="O588" s="43"/>
      <x:c r="P588" s="58" t="str">
        <x:f>IF(N588="","","Estantería "&amp;N588&amp;IF(O588="",""," - Balda "&amp;N588&amp;O588))</x:f>
      </x:c>
      <x:c r="Q588" s="37"/>
      <x:c r="R588" s="37"/>
      <x:c r="S588" s="49"/>
      <x:c r="T588" s="37"/>
      <x:c r="U588" s="37"/>
      <x:c r="V588" s="37"/>
      <x:c r="W588" s="34"/>
      <x:c r="X588" s="52"/>
      <x:c r="Y588" s="61" t="str">
        <x:f>IF(A588="","",IF(COUNTIF($A$6:$A$605,A588)&gt;1,"DUPLICADO","OK"))</x:f>
      </x:c>
      <x:c r="Z588" s="61" t="str">
        <x:f>IF(A588="","",IF(C588="","FALTA TÍTULO",IF(E588="","FALTA ÁREA",IF(W588&lt;&gt;"Sí","PENDIENTE","LISTO"))))</x:f>
      </x:c>
    </x:row>
    <x:row r="589">
      <x:c r="A589" s="40"/>
      <x:c r="B589" s="40"/>
      <x:c r="C589" s="37"/>
      <x:c r="D589" s="37"/>
      <x:c r="E589" s="37"/>
      <x:c r="F589" s="43"/>
      <x:c r="G589" s="43"/>
      <x:c r="H589" s="43"/>
      <x:c r="I589" s="55" t="str">
        <x:f>IF(OR(F589="",G589="",H589=""),"",F589&amp;" "&amp;UPPER(G589)&amp;"."&amp;LOWER(H589))</x:f>
      </x:c>
      <x:c r="J589" s="37"/>
      <x:c r="K589" s="37"/>
      <x:c r="L589" s="46"/>
      <x:c r="M589" s="43"/>
      <x:c r="N589" s="43"/>
      <x:c r="O589" s="43"/>
      <x:c r="P589" s="58" t="str">
        <x:f>IF(N589="","","Estantería "&amp;N589&amp;IF(O589="",""," - Balda "&amp;N589&amp;O589))</x:f>
      </x:c>
      <x:c r="Q589" s="37"/>
      <x:c r="R589" s="37"/>
      <x:c r="S589" s="49"/>
      <x:c r="T589" s="37"/>
      <x:c r="U589" s="37"/>
      <x:c r="V589" s="37"/>
      <x:c r="W589" s="34"/>
      <x:c r="X589" s="52"/>
      <x:c r="Y589" s="61" t="str">
        <x:f>IF(A589="","",IF(COUNTIF($A$6:$A$605,A589)&gt;1,"DUPLICADO","OK"))</x:f>
      </x:c>
      <x:c r="Z589" s="61" t="str">
        <x:f>IF(A589="","",IF(C589="","FALTA TÍTULO",IF(E589="","FALTA ÁREA",IF(W589&lt;&gt;"Sí","PENDIENTE","LISTO"))))</x:f>
      </x:c>
    </x:row>
    <x:row r="590">
      <x:c r="A590" s="40"/>
      <x:c r="B590" s="40"/>
      <x:c r="C590" s="37"/>
      <x:c r="D590" s="37"/>
      <x:c r="E590" s="37"/>
      <x:c r="F590" s="43"/>
      <x:c r="G590" s="43"/>
      <x:c r="H590" s="43"/>
      <x:c r="I590" s="55" t="str">
        <x:f>IF(OR(F590="",G590="",H590=""),"",F590&amp;" "&amp;UPPER(G590)&amp;"."&amp;LOWER(H590))</x:f>
      </x:c>
      <x:c r="J590" s="37"/>
      <x:c r="K590" s="37"/>
      <x:c r="L590" s="46"/>
      <x:c r="M590" s="43"/>
      <x:c r="N590" s="43"/>
      <x:c r="O590" s="43"/>
      <x:c r="P590" s="58" t="str">
        <x:f>IF(N590="","","Estantería "&amp;N590&amp;IF(O590="",""," - Balda "&amp;N590&amp;O590))</x:f>
      </x:c>
      <x:c r="Q590" s="37"/>
      <x:c r="R590" s="37"/>
      <x:c r="S590" s="49"/>
      <x:c r="T590" s="37"/>
      <x:c r="U590" s="37"/>
      <x:c r="V590" s="37"/>
      <x:c r="W590" s="34"/>
      <x:c r="X590" s="52"/>
      <x:c r="Y590" s="61" t="str">
        <x:f>IF(A590="","",IF(COUNTIF($A$6:$A$605,A590)&gt;1,"DUPLICADO","OK"))</x:f>
      </x:c>
      <x:c r="Z590" s="61" t="str">
        <x:f>IF(A590="","",IF(C590="","FALTA TÍTULO",IF(E590="","FALTA ÁREA",IF(W590&lt;&gt;"Sí","PENDIENTE","LISTO"))))</x:f>
      </x:c>
    </x:row>
    <x:row r="591">
      <x:c r="A591" s="40"/>
      <x:c r="B591" s="40"/>
      <x:c r="C591" s="37"/>
      <x:c r="D591" s="37"/>
      <x:c r="E591" s="37"/>
      <x:c r="F591" s="43"/>
      <x:c r="G591" s="43"/>
      <x:c r="H591" s="43"/>
      <x:c r="I591" s="55" t="str">
        <x:f>IF(OR(F591="",G591="",H591=""),"",F591&amp;" "&amp;UPPER(G591)&amp;"."&amp;LOWER(H591))</x:f>
      </x:c>
      <x:c r="J591" s="37"/>
      <x:c r="K591" s="37"/>
      <x:c r="L591" s="46"/>
      <x:c r="M591" s="43"/>
      <x:c r="N591" s="43"/>
      <x:c r="O591" s="43"/>
      <x:c r="P591" s="58" t="str">
        <x:f>IF(N591="","","Estantería "&amp;N591&amp;IF(O591="",""," - Balda "&amp;N591&amp;O591))</x:f>
      </x:c>
      <x:c r="Q591" s="37"/>
      <x:c r="R591" s="37"/>
      <x:c r="S591" s="49"/>
      <x:c r="T591" s="37"/>
      <x:c r="U591" s="37"/>
      <x:c r="V591" s="37"/>
      <x:c r="W591" s="34"/>
      <x:c r="X591" s="52"/>
      <x:c r="Y591" s="61" t="str">
        <x:f>IF(A591="","",IF(COUNTIF($A$6:$A$605,A591)&gt;1,"DUPLICADO","OK"))</x:f>
      </x:c>
      <x:c r="Z591" s="61" t="str">
        <x:f>IF(A591="","",IF(C591="","FALTA TÍTULO",IF(E591="","FALTA ÁREA",IF(W591&lt;&gt;"Sí","PENDIENTE","LISTO"))))</x:f>
      </x:c>
    </x:row>
    <x:row r="592">
      <x:c r="A592" s="40"/>
      <x:c r="B592" s="40"/>
      <x:c r="C592" s="37"/>
      <x:c r="D592" s="37"/>
      <x:c r="E592" s="37"/>
      <x:c r="F592" s="43"/>
      <x:c r="G592" s="43"/>
      <x:c r="H592" s="43"/>
      <x:c r="I592" s="55" t="str">
        <x:f>IF(OR(F592="",G592="",H592=""),"",F592&amp;" "&amp;UPPER(G592)&amp;"."&amp;LOWER(H592))</x:f>
      </x:c>
      <x:c r="J592" s="37"/>
      <x:c r="K592" s="37"/>
      <x:c r="L592" s="46"/>
      <x:c r="M592" s="43"/>
      <x:c r="N592" s="43"/>
      <x:c r="O592" s="43"/>
      <x:c r="P592" s="58" t="str">
        <x:f>IF(N592="","","Estantería "&amp;N592&amp;IF(O592="",""," - Balda "&amp;N592&amp;O592))</x:f>
      </x:c>
      <x:c r="Q592" s="37"/>
      <x:c r="R592" s="37"/>
      <x:c r="S592" s="49"/>
      <x:c r="T592" s="37"/>
      <x:c r="U592" s="37"/>
      <x:c r="V592" s="37"/>
      <x:c r="W592" s="34"/>
      <x:c r="X592" s="52"/>
      <x:c r="Y592" s="61" t="str">
        <x:f>IF(A592="","",IF(COUNTIF($A$6:$A$605,A592)&gt;1,"DUPLICADO","OK"))</x:f>
      </x:c>
      <x:c r="Z592" s="61" t="str">
        <x:f>IF(A592="","",IF(C592="","FALTA TÍTULO",IF(E592="","FALTA ÁREA",IF(W592&lt;&gt;"Sí","PENDIENTE","LISTO"))))</x:f>
      </x:c>
    </x:row>
    <x:row r="593">
      <x:c r="A593" s="40"/>
      <x:c r="B593" s="40"/>
      <x:c r="C593" s="37"/>
      <x:c r="D593" s="37"/>
      <x:c r="E593" s="37"/>
      <x:c r="F593" s="43"/>
      <x:c r="G593" s="43"/>
      <x:c r="H593" s="43"/>
      <x:c r="I593" s="55" t="str">
        <x:f>IF(OR(F593="",G593="",H593=""),"",F593&amp;" "&amp;UPPER(G593)&amp;"."&amp;LOWER(H593))</x:f>
      </x:c>
      <x:c r="J593" s="37"/>
      <x:c r="K593" s="37"/>
      <x:c r="L593" s="46"/>
      <x:c r="M593" s="43"/>
      <x:c r="N593" s="43"/>
      <x:c r="O593" s="43"/>
      <x:c r="P593" s="58" t="str">
        <x:f>IF(N593="","","Estantería "&amp;N593&amp;IF(O593="",""," - Balda "&amp;N593&amp;O593))</x:f>
      </x:c>
      <x:c r="Q593" s="37"/>
      <x:c r="R593" s="37"/>
      <x:c r="S593" s="49"/>
      <x:c r="T593" s="37"/>
      <x:c r="U593" s="37"/>
      <x:c r="V593" s="37"/>
      <x:c r="W593" s="34"/>
      <x:c r="X593" s="52"/>
      <x:c r="Y593" s="61" t="str">
        <x:f>IF(A593="","",IF(COUNTIF($A$6:$A$605,A593)&gt;1,"DUPLICADO","OK"))</x:f>
      </x:c>
      <x:c r="Z593" s="61" t="str">
        <x:f>IF(A593="","",IF(C593="","FALTA TÍTULO",IF(E593="","FALTA ÁREA",IF(W593&lt;&gt;"Sí","PENDIENTE","LISTO"))))</x:f>
      </x:c>
    </x:row>
    <x:row r="594">
      <x:c r="A594" s="40"/>
      <x:c r="B594" s="40"/>
      <x:c r="C594" s="37"/>
      <x:c r="D594" s="37"/>
      <x:c r="E594" s="37"/>
      <x:c r="F594" s="43"/>
      <x:c r="G594" s="43"/>
      <x:c r="H594" s="43"/>
      <x:c r="I594" s="55" t="str">
        <x:f>IF(OR(F594="",G594="",H594=""),"",F594&amp;" "&amp;UPPER(G594)&amp;"."&amp;LOWER(H594))</x:f>
      </x:c>
      <x:c r="J594" s="37"/>
      <x:c r="K594" s="37"/>
      <x:c r="L594" s="46"/>
      <x:c r="M594" s="43"/>
      <x:c r="N594" s="43"/>
      <x:c r="O594" s="43"/>
      <x:c r="P594" s="58" t="str">
        <x:f>IF(N594="","","Estantería "&amp;N594&amp;IF(O594="",""," - Balda "&amp;N594&amp;O594))</x:f>
      </x:c>
      <x:c r="Q594" s="37"/>
      <x:c r="R594" s="37"/>
      <x:c r="S594" s="49"/>
      <x:c r="T594" s="37"/>
      <x:c r="U594" s="37"/>
      <x:c r="V594" s="37"/>
      <x:c r="W594" s="34"/>
      <x:c r="X594" s="52"/>
      <x:c r="Y594" s="61" t="str">
        <x:f>IF(A594="","",IF(COUNTIF($A$6:$A$605,A594)&gt;1,"DUPLICADO","OK"))</x:f>
      </x:c>
      <x:c r="Z594" s="61" t="str">
        <x:f>IF(A594="","",IF(C594="","FALTA TÍTULO",IF(E594="","FALTA ÁREA",IF(W594&lt;&gt;"Sí","PENDIENTE","LISTO"))))</x:f>
      </x:c>
    </x:row>
    <x:row r="595">
      <x:c r="A595" s="40"/>
      <x:c r="B595" s="40"/>
      <x:c r="C595" s="37"/>
      <x:c r="D595" s="37"/>
      <x:c r="E595" s="37"/>
      <x:c r="F595" s="43"/>
      <x:c r="G595" s="43"/>
      <x:c r="H595" s="43"/>
      <x:c r="I595" s="55" t="str">
        <x:f>IF(OR(F595="",G595="",H595=""),"",F595&amp;" "&amp;UPPER(G595)&amp;"."&amp;LOWER(H595))</x:f>
      </x:c>
      <x:c r="J595" s="37"/>
      <x:c r="K595" s="37"/>
      <x:c r="L595" s="46"/>
      <x:c r="M595" s="43"/>
      <x:c r="N595" s="43"/>
      <x:c r="O595" s="43"/>
      <x:c r="P595" s="58" t="str">
        <x:f>IF(N595="","","Estantería "&amp;N595&amp;IF(O595="",""," - Balda "&amp;N595&amp;O595))</x:f>
      </x:c>
      <x:c r="Q595" s="37"/>
      <x:c r="R595" s="37"/>
      <x:c r="S595" s="49"/>
      <x:c r="T595" s="37"/>
      <x:c r="U595" s="37"/>
      <x:c r="V595" s="37"/>
      <x:c r="W595" s="34"/>
      <x:c r="X595" s="52"/>
      <x:c r="Y595" s="61" t="str">
        <x:f>IF(A595="","",IF(COUNTIF($A$6:$A$605,A595)&gt;1,"DUPLICADO","OK"))</x:f>
      </x:c>
      <x:c r="Z595" s="61" t="str">
        <x:f>IF(A595="","",IF(C595="","FALTA TÍTULO",IF(E595="","FALTA ÁREA",IF(W595&lt;&gt;"Sí","PENDIENTE","LISTO"))))</x:f>
      </x:c>
    </x:row>
    <x:row r="596">
      <x:c r="A596" s="40"/>
      <x:c r="B596" s="40"/>
      <x:c r="C596" s="37"/>
      <x:c r="D596" s="37"/>
      <x:c r="E596" s="37"/>
      <x:c r="F596" s="43"/>
      <x:c r="G596" s="43"/>
      <x:c r="H596" s="43"/>
      <x:c r="I596" s="55" t="str">
        <x:f>IF(OR(F596="",G596="",H596=""),"",F596&amp;" "&amp;UPPER(G596)&amp;"."&amp;LOWER(H596))</x:f>
      </x:c>
      <x:c r="J596" s="37"/>
      <x:c r="K596" s="37"/>
      <x:c r="L596" s="46"/>
      <x:c r="M596" s="43"/>
      <x:c r="N596" s="43"/>
      <x:c r="O596" s="43"/>
      <x:c r="P596" s="58" t="str">
        <x:f>IF(N596="","","Estantería "&amp;N596&amp;IF(O596="",""," - Balda "&amp;N596&amp;O596))</x:f>
      </x:c>
      <x:c r="Q596" s="37"/>
      <x:c r="R596" s="37"/>
      <x:c r="S596" s="49"/>
      <x:c r="T596" s="37"/>
      <x:c r="U596" s="37"/>
      <x:c r="V596" s="37"/>
      <x:c r="W596" s="34"/>
      <x:c r="X596" s="52"/>
      <x:c r="Y596" s="61" t="str">
        <x:f>IF(A596="","",IF(COUNTIF($A$6:$A$605,A596)&gt;1,"DUPLICADO","OK"))</x:f>
      </x:c>
      <x:c r="Z596" s="61" t="str">
        <x:f>IF(A596="","",IF(C596="","FALTA TÍTULO",IF(E596="","FALTA ÁREA",IF(W596&lt;&gt;"Sí","PENDIENTE","LISTO"))))</x:f>
      </x:c>
    </x:row>
    <x:row r="597">
      <x:c r="A597" s="40"/>
      <x:c r="B597" s="40"/>
      <x:c r="C597" s="37"/>
      <x:c r="D597" s="37"/>
      <x:c r="E597" s="37"/>
      <x:c r="F597" s="43"/>
      <x:c r="G597" s="43"/>
      <x:c r="H597" s="43"/>
      <x:c r="I597" s="55" t="str">
        <x:f>IF(OR(F597="",G597="",H597=""),"",F597&amp;" "&amp;UPPER(G597)&amp;"."&amp;LOWER(H597))</x:f>
      </x:c>
      <x:c r="J597" s="37"/>
      <x:c r="K597" s="37"/>
      <x:c r="L597" s="46"/>
      <x:c r="M597" s="43"/>
      <x:c r="N597" s="43"/>
      <x:c r="O597" s="43"/>
      <x:c r="P597" s="58" t="str">
        <x:f>IF(N597="","","Estantería "&amp;N597&amp;IF(O597="",""," - Balda "&amp;N597&amp;O597))</x:f>
      </x:c>
      <x:c r="Q597" s="37"/>
      <x:c r="R597" s="37"/>
      <x:c r="S597" s="49"/>
      <x:c r="T597" s="37"/>
      <x:c r="U597" s="37"/>
      <x:c r="V597" s="37"/>
      <x:c r="W597" s="34"/>
      <x:c r="X597" s="52"/>
      <x:c r="Y597" s="61" t="str">
        <x:f>IF(A597="","",IF(COUNTIF($A$6:$A$605,A597)&gt;1,"DUPLICADO","OK"))</x:f>
      </x:c>
      <x:c r="Z597" s="61" t="str">
        <x:f>IF(A597="","",IF(C597="","FALTA TÍTULO",IF(E597="","FALTA ÁREA",IF(W597&lt;&gt;"Sí","PENDIENTE","LISTO"))))</x:f>
      </x:c>
    </x:row>
    <x:row r="598">
      <x:c r="A598" s="40"/>
      <x:c r="B598" s="40"/>
      <x:c r="C598" s="37"/>
      <x:c r="D598" s="37"/>
      <x:c r="E598" s="37"/>
      <x:c r="F598" s="43"/>
      <x:c r="G598" s="43"/>
      <x:c r="H598" s="43"/>
      <x:c r="I598" s="55" t="str">
        <x:f>IF(OR(F598="",G598="",H598=""),"",F598&amp;" "&amp;UPPER(G598)&amp;"."&amp;LOWER(H598))</x:f>
      </x:c>
      <x:c r="J598" s="37"/>
      <x:c r="K598" s="37"/>
      <x:c r="L598" s="46"/>
      <x:c r="M598" s="43"/>
      <x:c r="N598" s="43"/>
      <x:c r="O598" s="43"/>
      <x:c r="P598" s="58" t="str">
        <x:f>IF(N598="","","Estantería "&amp;N598&amp;IF(O598="",""," - Balda "&amp;N598&amp;O598))</x:f>
      </x:c>
      <x:c r="Q598" s="37"/>
      <x:c r="R598" s="37"/>
      <x:c r="S598" s="49"/>
      <x:c r="T598" s="37"/>
      <x:c r="U598" s="37"/>
      <x:c r="V598" s="37"/>
      <x:c r="W598" s="34"/>
      <x:c r="X598" s="52"/>
      <x:c r="Y598" s="61" t="str">
        <x:f>IF(A598="","",IF(COUNTIF($A$6:$A$605,A598)&gt;1,"DUPLICADO","OK"))</x:f>
      </x:c>
      <x:c r="Z598" s="61" t="str">
        <x:f>IF(A598="","",IF(C598="","FALTA TÍTULO",IF(E598="","FALTA ÁREA",IF(W598&lt;&gt;"Sí","PENDIENTE","LISTO"))))</x:f>
      </x:c>
    </x:row>
    <x:row r="599">
      <x:c r="A599" s="40"/>
      <x:c r="B599" s="40"/>
      <x:c r="C599" s="37"/>
      <x:c r="D599" s="37"/>
      <x:c r="E599" s="37"/>
      <x:c r="F599" s="43"/>
      <x:c r="G599" s="43"/>
      <x:c r="H599" s="43"/>
      <x:c r="I599" s="55" t="str">
        <x:f>IF(OR(F599="",G599="",H599=""),"",F599&amp;" "&amp;UPPER(G599)&amp;"."&amp;LOWER(H599))</x:f>
      </x:c>
      <x:c r="J599" s="37"/>
      <x:c r="K599" s="37"/>
      <x:c r="L599" s="46"/>
      <x:c r="M599" s="43"/>
      <x:c r="N599" s="43"/>
      <x:c r="O599" s="43"/>
      <x:c r="P599" s="58" t="str">
        <x:f>IF(N599="","","Estantería "&amp;N599&amp;IF(O599="",""," - Balda "&amp;N599&amp;O599))</x:f>
      </x:c>
      <x:c r="Q599" s="37"/>
      <x:c r="R599" s="37"/>
      <x:c r="S599" s="49"/>
      <x:c r="T599" s="37"/>
      <x:c r="U599" s="37"/>
      <x:c r="V599" s="37"/>
      <x:c r="W599" s="34"/>
      <x:c r="X599" s="52"/>
      <x:c r="Y599" s="61" t="str">
        <x:f>IF(A599="","",IF(COUNTIF($A$6:$A$605,A599)&gt;1,"DUPLICADO","OK"))</x:f>
      </x:c>
      <x:c r="Z599" s="61" t="str">
        <x:f>IF(A599="","",IF(C599="","FALTA TÍTULO",IF(E599="","FALTA ÁREA",IF(W599&lt;&gt;"Sí","PENDIENTE","LISTO"))))</x:f>
      </x:c>
    </x:row>
    <x:row r="600">
      <x:c r="A600" s="40"/>
      <x:c r="B600" s="40"/>
      <x:c r="C600" s="37"/>
      <x:c r="D600" s="37"/>
      <x:c r="E600" s="37"/>
      <x:c r="F600" s="43"/>
      <x:c r="G600" s="43"/>
      <x:c r="H600" s="43"/>
      <x:c r="I600" s="55" t="str">
        <x:f>IF(OR(F600="",G600="",H600=""),"",F600&amp;" "&amp;UPPER(G600)&amp;"."&amp;LOWER(H600))</x:f>
      </x:c>
      <x:c r="J600" s="37"/>
      <x:c r="K600" s="37"/>
      <x:c r="L600" s="46"/>
      <x:c r="M600" s="43"/>
      <x:c r="N600" s="43"/>
      <x:c r="O600" s="43"/>
      <x:c r="P600" s="58" t="str">
        <x:f>IF(N600="","","Estantería "&amp;N600&amp;IF(O600="",""," - Balda "&amp;N600&amp;O600))</x:f>
      </x:c>
      <x:c r="Q600" s="37"/>
      <x:c r="R600" s="37"/>
      <x:c r="S600" s="49"/>
      <x:c r="T600" s="37"/>
      <x:c r="U600" s="37"/>
      <x:c r="V600" s="37"/>
      <x:c r="W600" s="34"/>
      <x:c r="X600" s="52"/>
      <x:c r="Y600" s="61" t="str">
        <x:f>IF(A600="","",IF(COUNTIF($A$6:$A$605,A600)&gt;1,"DUPLICADO","OK"))</x:f>
      </x:c>
      <x:c r="Z600" s="61" t="str">
        <x:f>IF(A600="","",IF(C600="","FALTA TÍTULO",IF(E600="","FALTA ÁREA",IF(W600&lt;&gt;"Sí","PENDIENTE","LISTO"))))</x:f>
      </x:c>
    </x:row>
    <x:row r="601">
      <x:c r="A601" s="40"/>
      <x:c r="B601" s="40"/>
      <x:c r="C601" s="37"/>
      <x:c r="D601" s="37"/>
      <x:c r="E601" s="37"/>
      <x:c r="F601" s="43"/>
      <x:c r="G601" s="43"/>
      <x:c r="H601" s="43"/>
      <x:c r="I601" s="55" t="str">
        <x:f>IF(OR(F601="",G601="",H601=""),"",F601&amp;" "&amp;UPPER(G601)&amp;"."&amp;LOWER(H601))</x:f>
      </x:c>
      <x:c r="J601" s="37"/>
      <x:c r="K601" s="37"/>
      <x:c r="L601" s="46"/>
      <x:c r="M601" s="43"/>
      <x:c r="N601" s="43"/>
      <x:c r="O601" s="43"/>
      <x:c r="P601" s="58" t="str">
        <x:f>IF(N601="","","Estantería "&amp;N601&amp;IF(O601="",""," - Balda "&amp;N601&amp;O601))</x:f>
      </x:c>
      <x:c r="Q601" s="37"/>
      <x:c r="R601" s="37"/>
      <x:c r="S601" s="49"/>
      <x:c r="T601" s="37"/>
      <x:c r="U601" s="37"/>
      <x:c r="V601" s="37"/>
      <x:c r="W601" s="34"/>
      <x:c r="X601" s="52"/>
      <x:c r="Y601" s="61" t="str">
        <x:f>IF(A601="","",IF(COUNTIF($A$6:$A$605,A601)&gt;1,"DUPLICADO","OK"))</x:f>
      </x:c>
      <x:c r="Z601" s="61" t="str">
        <x:f>IF(A601="","",IF(C601="","FALTA TÍTULO",IF(E601="","FALTA ÁREA",IF(W601&lt;&gt;"Sí","PENDIENTE","LISTO"))))</x:f>
      </x:c>
    </x:row>
    <x:row r="602">
      <x:c r="A602" s="40"/>
      <x:c r="B602" s="40"/>
      <x:c r="C602" s="37"/>
      <x:c r="D602" s="37"/>
      <x:c r="E602" s="37"/>
      <x:c r="F602" s="43"/>
      <x:c r="G602" s="43"/>
      <x:c r="H602" s="43"/>
      <x:c r="I602" s="55" t="str">
        <x:f>IF(OR(F602="",G602="",H602=""),"",F602&amp;" "&amp;UPPER(G602)&amp;"."&amp;LOWER(H602))</x:f>
      </x:c>
      <x:c r="J602" s="37"/>
      <x:c r="K602" s="37"/>
      <x:c r="L602" s="46"/>
      <x:c r="M602" s="43"/>
      <x:c r="N602" s="43"/>
      <x:c r="O602" s="43"/>
      <x:c r="P602" s="58" t="str">
        <x:f>IF(N602="","","Estantería "&amp;N602&amp;IF(O602="",""," - Balda "&amp;N602&amp;O602))</x:f>
      </x:c>
      <x:c r="Q602" s="37"/>
      <x:c r="R602" s="37"/>
      <x:c r="S602" s="49"/>
      <x:c r="T602" s="37"/>
      <x:c r="U602" s="37"/>
      <x:c r="V602" s="37"/>
      <x:c r="W602" s="34"/>
      <x:c r="X602" s="52"/>
      <x:c r="Y602" s="61" t="str">
        <x:f>IF(A602="","",IF(COUNTIF($A$6:$A$605,A602)&gt;1,"DUPLICADO","OK"))</x:f>
      </x:c>
      <x:c r="Z602" s="61" t="str">
        <x:f>IF(A602="","",IF(C602="","FALTA TÍTULO",IF(E602="","FALTA ÁREA",IF(W602&lt;&gt;"Sí","PENDIENTE","LISTO"))))</x:f>
      </x:c>
    </x:row>
    <x:row r="603">
      <x:c r="A603" s="40"/>
      <x:c r="B603" s="40"/>
      <x:c r="C603" s="37"/>
      <x:c r="D603" s="37"/>
      <x:c r="E603" s="37"/>
      <x:c r="F603" s="43"/>
      <x:c r="G603" s="43"/>
      <x:c r="H603" s="43"/>
      <x:c r="I603" s="55" t="str">
        <x:f>IF(OR(F603="",G603="",H603=""),"",F603&amp;" "&amp;UPPER(G603)&amp;"."&amp;LOWER(H603))</x:f>
      </x:c>
      <x:c r="J603" s="37"/>
      <x:c r="K603" s="37"/>
      <x:c r="L603" s="46"/>
      <x:c r="M603" s="43"/>
      <x:c r="N603" s="43"/>
      <x:c r="O603" s="43"/>
      <x:c r="P603" s="58" t="str">
        <x:f>IF(N603="","","Estantería "&amp;N603&amp;IF(O603="",""," - Balda "&amp;N603&amp;O603))</x:f>
      </x:c>
      <x:c r="Q603" s="37"/>
      <x:c r="R603" s="37"/>
      <x:c r="S603" s="49"/>
      <x:c r="T603" s="37"/>
      <x:c r="U603" s="37"/>
      <x:c r="V603" s="37"/>
      <x:c r="W603" s="34"/>
      <x:c r="X603" s="52"/>
      <x:c r="Y603" s="61" t="str">
        <x:f>IF(A603="","",IF(COUNTIF($A$6:$A$605,A603)&gt;1,"DUPLICADO","OK"))</x:f>
      </x:c>
      <x:c r="Z603" s="61" t="str">
        <x:f>IF(A603="","",IF(C603="","FALTA TÍTULO",IF(E603="","FALTA ÁREA",IF(W603&lt;&gt;"Sí","PENDIENTE","LISTO"))))</x:f>
      </x:c>
    </x:row>
    <x:row r="604">
      <x:c r="A604" s="40"/>
      <x:c r="B604" s="40"/>
      <x:c r="C604" s="37"/>
      <x:c r="D604" s="37"/>
      <x:c r="E604" s="37"/>
      <x:c r="F604" s="43"/>
      <x:c r="G604" s="43"/>
      <x:c r="H604" s="43"/>
      <x:c r="I604" s="55" t="str">
        <x:f>IF(OR(F604="",G604="",H604=""),"",F604&amp;" "&amp;UPPER(G604)&amp;"."&amp;LOWER(H604))</x:f>
      </x:c>
      <x:c r="J604" s="37"/>
      <x:c r="K604" s="37"/>
      <x:c r="L604" s="46"/>
      <x:c r="M604" s="43"/>
      <x:c r="N604" s="43"/>
      <x:c r="O604" s="43"/>
      <x:c r="P604" s="58" t="str">
        <x:f>IF(N604="","","Estantería "&amp;N604&amp;IF(O604="",""," - Balda "&amp;N604&amp;O604))</x:f>
      </x:c>
      <x:c r="Q604" s="37"/>
      <x:c r="R604" s="37"/>
      <x:c r="S604" s="49"/>
      <x:c r="T604" s="37"/>
      <x:c r="U604" s="37"/>
      <x:c r="V604" s="37"/>
      <x:c r="W604" s="34"/>
      <x:c r="X604" s="52"/>
      <x:c r="Y604" s="61" t="str">
        <x:f>IF(A604="","",IF(COUNTIF($A$6:$A$605,A604)&gt;1,"DUPLICADO","OK"))</x:f>
      </x:c>
      <x:c r="Z604" s="61" t="str">
        <x:f>IF(A604="","",IF(C604="","FALTA TÍTULO",IF(E604="","FALTA ÁREA",IF(W604&lt;&gt;"Sí","PENDIENTE","LISTO"))))</x:f>
      </x:c>
    </x:row>
    <x:row r="605">
      <x:c r="A605" s="41"/>
      <x:c r="B605" s="41"/>
      <x:c r="C605" s="38"/>
      <x:c r="D605" s="38"/>
      <x:c r="E605" s="38"/>
      <x:c r="F605" s="44"/>
      <x:c r="G605" s="44"/>
      <x:c r="H605" s="44"/>
      <x:c r="I605" s="56" t="str">
        <x:f>IF(OR(F605="",G605="",H605=""),"",F605&amp;" "&amp;UPPER(G605)&amp;"."&amp;LOWER(H605))</x:f>
      </x:c>
      <x:c r="J605" s="38"/>
      <x:c r="K605" s="38"/>
      <x:c r="L605" s="47"/>
      <x:c r="M605" s="44"/>
      <x:c r="N605" s="44"/>
      <x:c r="O605" s="44"/>
      <x:c r="P605" s="59" t="str">
        <x:f>IF(N605="","","Estantería "&amp;N605&amp;IF(O605="",""," - Balda "&amp;N605&amp;O605))</x:f>
      </x:c>
      <x:c r="Q605" s="38"/>
      <x:c r="R605" s="38"/>
      <x:c r="S605" s="50"/>
      <x:c r="T605" s="38"/>
      <x:c r="U605" s="38"/>
      <x:c r="V605" s="38"/>
      <x:c r="W605" s="35"/>
      <x:c r="X605" s="53"/>
      <x:c r="Y605" s="62" t="str">
        <x:f>IF(A605="","",IF(COUNTIF($A$6:$A$605,A605)&gt;1,"DUPLICADO","OK"))</x:f>
      </x:c>
      <x:c r="Z605" s="62" t="str">
        <x:f>IF(A605="","",IF(C605="","FALTA TÍTULO",IF(E605="","FALTA ÁREA",IF(W605&lt;&gt;"Sí","PENDIENTE","LISTO"))))</x:f>
      </x:c>
    </x:row>
  </x:sheetData>
  <x:mergeCells>
    <x:mergeCell ref="A1:Z1"/>
    <x:mergeCell ref="A2:Z2"/>
  </x:mergeCells>
  <x:conditionalFormatting sqref="Y6:Y605">
    <x:cfRule type="containsText" dxfId="0" priority="1" operator="containsText" text="DUPLICADO"/>
  </x:conditionalFormatting>
  <x:conditionalFormatting sqref="Z6:Z605">
    <x:cfRule type="containsText" dxfId="1" priority="2" operator="containsText" text="PENDIENTE"/>
    <x:cfRule type="containsText" dxfId="2" priority="3" operator="containsText" text="LISTO"/>
    <x:cfRule type="beginsWith" dxfId="3" priority="4" operator="beginsWith" text="FALTA"/>
  </x:conditionalFormatting>
  <x:dataValidations count="6">
    <x:dataValidation type="list" sqref="E6:E605">
      <x:formula1>'Listas'!$A$2:$A$17</x:formula1>
    </x:dataValidation>
    <x:dataValidation type="list" sqref="R6:R605">
      <x:formula1>'Listas'!$B$2:$B$5</x:formula1>
    </x:dataValidation>
    <x:dataValidation type="list" sqref="T6:T605">
      <x:formula1>'Listas'!$C$2:$C$5</x:formula1>
    </x:dataValidation>
    <x:dataValidation type="list" sqref="U6:U605">
      <x:formula1>'Listas'!$D$2:$D$6</x:formula1>
    </x:dataValidation>
    <x:dataValidation type="list" sqref="W6:W605">
      <x:formula1>'Listas'!$E$2:$E$3</x:formula1>
    </x:dataValidation>
    <x:dataValidation type="list" sqref="O6:O605">
      <x:formula1>'Listas'!$F$2:$F$9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e81b70aabb47a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63" t="str">
        <x:v>Áreas</x:v>
      </x:c>
      <x:c r="B1" s="63" t="str">
        <x:v>Adquisición</x:v>
      </x:c>
      <x:c r="C1" s="63" t="str">
        <x:v>Condición</x:v>
      </x:c>
      <x:c r="D1" s="63" t="str">
        <x:v>Estado</x:v>
      </x:c>
      <x:c r="E1" s="63" t="str">
        <x:v>Verificado</x:v>
      </x:c>
      <x:c r="F1" s="63" t="str">
        <x:v>Balda</x:v>
      </x:c>
    </x:row>
    <x:row r="2">
      <x:c r="A2" s="65" t="str">
        <x:v>Generalidades</x:v>
      </x:c>
      <x:c r="B2" s="65" t="str">
        <x:v>Compra</x:v>
      </x:c>
      <x:c r="C2" s="65" t="str">
        <x:v>Nuevo</x:v>
      </x:c>
      <x:c r="D2" s="65" t="str">
        <x:v>Disponible</x:v>
      </x:c>
      <x:c r="E2" s="65" t="str">
        <x:v>Sí</x:v>
      </x:c>
      <x:c r="F2" s="65" t="str">
        <x:v>A</x:v>
      </x:c>
    </x:row>
    <x:row r="3">
      <x:c r="A3" s="66" t="str">
        <x:v>Filosofía y Psicología</x:v>
      </x:c>
      <x:c r="B3" s="66" t="str">
        <x:v>Donación</x:v>
      </x:c>
      <x:c r="C3" s="66" t="str">
        <x:v>Bueno</x:v>
      </x:c>
      <x:c r="D3" s="66" t="str">
        <x:v>Prestado</x:v>
      </x:c>
      <x:c r="E3" s="66" t="str">
        <x:v>No</x:v>
      </x:c>
      <x:c r="F3" s="66" t="str">
        <x:v>B</x:v>
      </x:c>
    </x:row>
    <x:row r="4">
      <x:c r="A4" s="66" t="str">
        <x:v>Religión</x:v>
      </x:c>
      <x:c r="B4" s="66" t="str">
        <x:v>Transferencia</x:v>
      </x:c>
      <x:c r="C4" s="66" t="str">
        <x:v>Regular</x:v>
      </x:c>
      <x:c r="D4" s="66" t="str">
        <x:v>Perdido</x:v>
      </x:c>
      <x:c r="E4" s="66"/>
      <x:c r="F4" s="66" t="str">
        <x:v>C</x:v>
      </x:c>
    </x:row>
    <x:row r="5">
      <x:c r="A5" s="66" t="str">
        <x:v>Ciencias Sociales</x:v>
      </x:c>
      <x:c r="B5" s="66" t="str">
        <x:v>Otro</x:v>
      </x:c>
      <x:c r="C5" s="66" t="str">
        <x:v>Deteriorado</x:v>
      </x:c>
      <x:c r="D5" s="66" t="str">
        <x:v>Baja</x:v>
      </x:c>
      <x:c r="E5" s="66"/>
      <x:c r="F5" s="66" t="str">
        <x:v>D</x:v>
      </x:c>
    </x:row>
    <x:row r="6">
      <x:c r="A6" s="66" t="str">
        <x:v>Lengua e Idiomas</x:v>
      </x:c>
      <x:c r="B6" s="66"/>
      <x:c r="C6" s="66"/>
      <x:c r="D6" s="66" t="str">
        <x:v>En reparación</x:v>
      </x:c>
      <x:c r="E6" s="66"/>
      <x:c r="F6" s="66" t="str">
        <x:v>E</x:v>
      </x:c>
    </x:row>
    <x:row r="7">
      <x:c r="A7" s="66" t="str">
        <x:v>Ciencias Naturales</x:v>
      </x:c>
      <x:c r="B7" s="66"/>
      <x:c r="C7" s="66"/>
      <x:c r="D7" s="66"/>
      <x:c r="E7" s="66"/>
      <x:c r="F7" s="66" t="str">
        <x:v>F</x:v>
      </x:c>
    </x:row>
    <x:row r="8">
      <x:c r="A8" s="66" t="str">
        <x:v>Matemática</x:v>
      </x:c>
      <x:c r="B8" s="66"/>
      <x:c r="C8" s="66"/>
      <x:c r="D8" s="66"/>
      <x:c r="E8" s="66"/>
      <x:c r="F8" s="66" t="str">
        <x:v>G</x:v>
      </x:c>
    </x:row>
    <x:row r="9">
      <x:c r="A9" s="66" t="str">
        <x:v>Tecnología</x:v>
      </x:c>
      <x:c r="B9" s="66"/>
      <x:c r="C9" s="66"/>
      <x:c r="D9" s="66"/>
      <x:c r="E9" s="66"/>
      <x:c r="F9" s="66" t="str">
        <x:v>H</x:v>
      </x:c>
    </x:row>
    <x:row r="10">
      <x:c r="A10" s="66" t="str">
        <x:v>Electricidad</x:v>
      </x:c>
      <x:c r="B10" s="66"/>
      <x:c r="C10" s="66"/>
      <x:c r="D10" s="66"/>
      <x:c r="E10" s="66"/>
      <x:c r="F10" s="66"/>
    </x:row>
    <x:row r="11">
      <x:c r="A11" s="66" t="str">
        <x:v>Electrónica</x:v>
      </x:c>
      <x:c r="B11" s="66"/>
      <x:c r="C11" s="66"/>
      <x:c r="D11" s="66"/>
      <x:c r="E11" s="66"/>
      <x:c r="F11" s="66"/>
    </x:row>
    <x:row r="12">
      <x:c r="A12" s="66" t="str">
        <x:v>Informática</x:v>
      </x:c>
      <x:c r="B12" s="66"/>
      <x:c r="C12" s="66"/>
      <x:c r="D12" s="66"/>
      <x:c r="E12" s="66"/>
      <x:c r="F12" s="66"/>
    </x:row>
    <x:row r="13">
      <x:c r="A13" s="66" t="str">
        <x:v>Artes</x:v>
      </x:c>
      <x:c r="B13" s="66"/>
      <x:c r="C13" s="66"/>
      <x:c r="D13" s="66"/>
      <x:c r="E13" s="66"/>
      <x:c r="F13" s="66"/>
    </x:row>
    <x:row r="14">
      <x:c r="A14" s="66" t="str">
        <x:v>Literatura</x:v>
      </x:c>
      <x:c r="B14" s="66"/>
      <x:c r="C14" s="66"/>
      <x:c r="D14" s="66"/>
      <x:c r="E14" s="66"/>
      <x:c r="F14" s="66"/>
    </x:row>
    <x:row r="15">
      <x:c r="A15" s="66" t="str">
        <x:v>Historia y Geografía</x:v>
      </x:c>
      <x:c r="B15" s="66"/>
      <x:c r="C15" s="66"/>
      <x:c r="D15" s="66"/>
      <x:c r="E15" s="66"/>
      <x:c r="F15" s="66"/>
    </x:row>
    <x:row r="16">
      <x:c r="A16" s="66" t="str">
        <x:v>Referencia</x:v>
      </x:c>
      <x:c r="B16" s="66"/>
      <x:c r="C16" s="66"/>
      <x:c r="D16" s="66"/>
      <x:c r="E16" s="66"/>
      <x:c r="F16" s="66"/>
    </x:row>
    <x:row r="17">
      <x:c r="A17" s="67" t="str">
        <x:v>Otro</x:v>
      </x:c>
      <x:c r="B17" s="67"/>
      <x:c r="C17" s="67"/>
      <x:c r="D17" s="67"/>
      <x:c r="E17" s="67"/>
      <x:c r="F17" s="6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8" hidden="0" customWidth="1"/>
    <x:col min="4" max="4" width="34" hidden="0" customWidth="1"/>
    <x:col min="5" max="5" width="16" hidden="0" customWidth="1"/>
    <x:col min="6" max="6" width="18" hidden="0" customWidth="1"/>
  </x:cols>
  <x:sheetData>
    <x:row r="1">
      <x:c r="A1" s="3" t="str">
        <x:v>CÓMO UTILIZAR EL INVENTARIO MAESTRO</x:v>
      </x:c>
      <x:c r="B1" s="3"/>
      <x:c r="C1" s="3"/>
      <x:c r="D1" s="3"/>
      <x:c r="E1" s="3"/>
      <x:c r="F1" s="3"/>
    </x:row>
    <x:row r="3">
      <x:c r="A3" s="70" t="str">
        <x:v>Paso</x:v>
      </x:c>
      <x:c r="B3" s="70" t="str">
        <x:v>Acción</x:v>
      </x:c>
      <x:c r="C3" s="70" t="str">
        <x:v>Detalle</x:v>
      </x:c>
      <x:c r="D3" s="70" t="str">
        <x:v>Ejemplo</x:v>
      </x:c>
      <x:c r="E3" s="70" t="str">
        <x:v>Obligatorio</x:v>
      </x:c>
      <x:c r="F3" s="70" t="str">
        <x:v>Responsable</x:v>
      </x:c>
    </x:row>
    <x:row r="4" ht="45" customHeight="1">
      <x:c r="A4" s="83" t="n">
        <x:v>1</x:v>
      </x:c>
      <x:c r="B4" s="74" t="str">
        <x:v>Revisar el ejemplar</x:v>
      </x:c>
      <x:c r="C4" s="74" t="str">
        <x:v>Cada fila representa un libro físico. Si hay tres copias, deben existir tres filas.</x:v>
      </x:c>
      <x:c r="D4" s="74" t="str">
        <x:v>3 copias = 3 inventarios</x:v>
      </x:c>
      <x:c r="E4" s="74" t="str">
        <x:v>Sí</x:v>
      </x:c>
      <x:c r="F4" s="74" t="str">
        <x:v>Bibliotecaria</x:v>
      </x:c>
    </x:row>
    <x:row r="5" ht="45" customHeight="1">
      <x:c r="A5" s="84" t="n">
        <x:v>2</x:v>
      </x:c>
      <x:c r="B5" s="75" t="str">
        <x:v>Confirmar inventario</x:v>
      </x:c>
      <x:c r="C5" s="75" t="str">
        <x:v>Conservar el número histórico si es legible y no está repetido.</x:v>
      </x:c>
      <x:c r="D5" s="75" t="str">
        <x:v>5011</x:v>
      </x:c>
      <x:c r="E5" s="75" t="str">
        <x:v>Sí</x:v>
      </x:c>
      <x:c r="F5" s="75" t="str">
        <x:v>Bibliotecaria</x:v>
      </x:c>
    </x:row>
    <x:row r="6" ht="45" customHeight="1">
      <x:c r="A6" s="84" t="n">
        <x:v>3</x:v>
      </x:c>
      <x:c r="B6" s="75" t="str">
        <x:v>Completar catálogo</x:v>
      </x:c>
      <x:c r="C6" s="75" t="str">
        <x:v>Registrar título, autor, área y clasificación bibliográfica.</x:v>
      </x:c>
      <x:c r="D6" s="75" t="str">
        <x:v>Geometría / Baldor / Matemática / 516.3</x:v>
      </x:c>
      <x:c r="E6" s="75" t="str">
        <x:v>Sí</x:v>
      </x:c>
      <x:c r="F6" s="75" t="str">
        <x:v>Equipo</x:v>
      </x:c>
    </x:row>
    <x:row r="7" ht="45" customHeight="1">
      <x:c r="A7" s="84" t="n">
        <x:v>4</x:v>
      </x:c>
      <x:c r="B7" s="75" t="str">
        <x:v>Generar signatura</x:v>
      </x:c>
      <x:c r="C7" s="75" t="str">
        <x:v>La columna Signatura se calcula con clasificación, clave de autor y clave de título.</x:v>
      </x:c>
      <x:c r="D7" s="75" t="str">
        <x:v>516.3 BAL.geo</x:v>
      </x:c>
      <x:c r="E7" s="75" t="str">
        <x:v>Automático</x:v>
      </x:c>
      <x:c r="F7" s="75" t="str">
        <x:v>Excel</x:v>
      </x:c>
    </x:row>
    <x:row r="8" ht="45" customHeight="1">
      <x:c r="A8" s="84" t="n">
        <x:v>5</x:v>
      </x:c>
      <x:c r="B8" s="75" t="str">
        <x:v>Registrar ubicación</x:v>
      </x:c>
      <x:c r="C8" s="75" t="str">
        <x:v>Estantería es el mueble; Balda es la división identificada con una letra.</x:v>
      </x:c>
      <x:c r="D8" s="75" t="str">
        <x:v>Estantería 1 - Balda 1A</x:v>
      </x:c>
      <x:c r="E8" s="75" t="str">
        <x:v>Recomendado</x:v>
      </x:c>
      <x:c r="F8" s="75" t="str">
        <x:v>Bibliotecaria</x:v>
      </x:c>
    </x:row>
    <x:row r="9" ht="45" customHeight="1">
      <x:c r="A9" s="84" t="n">
        <x:v>6</x:v>
      </x:c>
      <x:c r="B9" s="75" t="str">
        <x:v>Evaluar condición</x:v>
      </x:c>
      <x:c r="C9" s="75" t="str">
        <x:v>Elegir Nuevo, Bueno, Regular o Deteriorado.</x:v>
      </x:c>
      <x:c r="D9" s="75" t="str">
        <x:v>Bueno</x:v>
      </x:c>
      <x:c r="E9" s="75" t="str">
        <x:v>Sí</x:v>
      </x:c>
      <x:c r="F9" s="75" t="str">
        <x:v>Bibliotecaria</x:v>
      </x:c>
    </x:row>
    <x:row r="10" ht="45" customHeight="1">
      <x:c r="A10" s="84" t="n">
        <x:v>7</x:v>
      </x:c>
      <x:c r="B10" s="75" t="str">
        <x:v>Marcar verificación</x:v>
      </x:c>
      <x:c r="C10" s="75" t="str">
        <x:v>Seleccionar Sí únicamente después de comprobar físicamente el ejemplar.</x:v>
      </x:c>
      <x:c r="D10" s="75" t="str">
        <x:v>Sí / 2026-08-07</x:v>
      </x:c>
      <x:c r="E10" s="75" t="str">
        <x:v>Sí</x:v>
      </x:c>
      <x:c r="F10" s="75" t="str">
        <x:v>Bibliotecaria</x:v>
      </x:c>
    </x:row>
    <x:row r="11" ht="45" customHeight="1">
      <x:c r="A11" s="84" t="n">
        <x:v>8</x:v>
      </x:c>
      <x:c r="B11" s="75" t="str">
        <x:v>Revisar controles</x:v>
      </x:c>
      <x:c r="C11" s="75" t="str">
        <x:v>No importar filas con DUPLICADO, FALTA TÍTULO o FALTA ÁREA.</x:v>
      </x:c>
      <x:c r="D11" s="75" t="str">
        <x:v>Control fila = LISTO</x:v>
      </x:c>
      <x:c r="E11" s="75" t="str">
        <x:v>Sí</x:v>
      </x:c>
      <x:c r="F11" s="75" t="str">
        <x:v>Administrador</x:v>
      </x:c>
    </x:row>
    <x:row r="12" ht="45" customHeight="1">
      <x:c r="A12" s="84" t="n">
        <x:v>9</x:v>
      </x:c>
      <x:c r="B12" s="75" t="str">
        <x:v>Crear respaldo</x:v>
      </x:c>
      <x:c r="C12" s="75" t="str">
        <x:v>Copiar db.sqlite3 antes de la importación definitiva.</x:v>
      </x:c>
      <x:c r="D12" s="75" t="str">
        <x:v>db_antes_inventario.sqlite3</x:v>
      </x:c>
      <x:c r="E12" s="75" t="str">
        <x:v>Sí</x:v>
      </x:c>
      <x:c r="F12" s="75" t="str">
        <x:v>Administrador</x:v>
      </x:c>
    </x:row>
    <x:row r="13" ht="45" customHeight="1">
      <x:c r="A13" s="85" t="n">
        <x:v>10</x:v>
      </x:c>
      <x:c r="B13" s="76" t="str">
        <x:v>Importar</x:v>
      </x:c>
      <x:c r="C13" s="76" t="str">
        <x:v>El sistema actualizará por número de inventario y no cambiará códigos correctos.</x:v>
      </x:c>
      <x:c r="D13" s="76" t="str">
        <x:v>Actualizar o crear</x:v>
      </x:c>
      <x:c r="E13" s="76" t="str">
        <x:v>Sí</x:v>
      </x:c>
      <x:c r="F13" s="76" t="str">
        <x:v>Administrador</x:v>
      </x:c>
    </x:row>
  </x:sheetData>
  <x:mergeCells>
    <x:mergeCell ref="A1:F1"/>
  </x:mergeCells>
  <x:pageMargins left="0.7" right="0.7" top="0.75" bottom="0.75" header="0.3" footer="0.3"/>
</x:worksheet>
</file>